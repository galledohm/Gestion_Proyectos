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__SA\Desktop\"/>
    </mc:Choice>
  </mc:AlternateContent>
  <bookViews>
    <workbookView xWindow="0" yWindow="0" windowWidth="23040" windowHeight="9090"/>
  </bookViews>
  <sheets>
    <sheet name="Hoja1" sheetId="1" r:id="rId1"/>
  </sheets>
  <externalReferences>
    <externalReference r:id="rId2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" i="1" l="1"/>
  <c r="E55" i="1"/>
  <c r="E54" i="1"/>
  <c r="E52" i="1"/>
  <c r="E45" i="1"/>
  <c r="E51" i="1"/>
  <c r="E43" i="1"/>
  <c r="E50" i="1"/>
  <c r="E42" i="1"/>
  <c r="E53" i="1"/>
  <c r="E44" i="1"/>
  <c r="E37" i="1"/>
  <c r="E36" i="1"/>
  <c r="E35" i="1"/>
  <c r="E34" i="1"/>
  <c r="N20" i="1"/>
  <c r="N19" i="1"/>
  <c r="N18" i="1"/>
  <c r="N16" i="1"/>
  <c r="N15" i="1"/>
  <c r="N17" i="1"/>
  <c r="N14" i="1"/>
  <c r="N13" i="1"/>
  <c r="N11" i="1"/>
  <c r="N10" i="1"/>
  <c r="N8" i="1"/>
  <c r="N7" i="1"/>
  <c r="N6" i="1"/>
  <c r="N5" i="1"/>
  <c r="N4" i="1"/>
  <c r="N3" i="1"/>
  <c r="E28" i="1"/>
  <c r="E26" i="1"/>
  <c r="E25" i="1"/>
  <c r="E30" i="1"/>
  <c r="E29" i="1"/>
  <c r="E27" i="1"/>
  <c r="E19" i="1"/>
  <c r="E18" i="1"/>
  <c r="E16" i="1"/>
  <c r="E20" i="1"/>
  <c r="E17" i="1"/>
  <c r="E11" i="1"/>
  <c r="E12" i="1"/>
  <c r="E9" i="1"/>
  <c r="E7" i="1"/>
  <c r="E6" i="1"/>
  <c r="E4" i="1"/>
  <c r="E3" i="1"/>
  <c r="F5" i="1" l="1"/>
  <c r="E41" i="1" l="1"/>
  <c r="E15" i="1"/>
  <c r="N12" i="1"/>
  <c r="E33" i="1"/>
  <c r="E49" i="1"/>
  <c r="E24" i="1"/>
  <c r="E8" i="1"/>
  <c r="E23" i="1"/>
  <c r="E32" i="1"/>
  <c r="F38" i="1" s="1"/>
  <c r="N9" i="1"/>
  <c r="N22" i="1" s="1"/>
  <c r="E14" i="1"/>
  <c r="E48" i="1"/>
  <c r="E40" i="1"/>
  <c r="E10" i="1"/>
  <c r="F31" i="1" l="1"/>
  <c r="F39" i="1" s="1"/>
  <c r="F46" i="1"/>
  <c r="F47" i="1" s="1"/>
  <c r="F57" i="1"/>
  <c r="F58" i="1" s="1"/>
  <c r="F21" i="1"/>
  <c r="F13" i="1"/>
  <c r="F22" i="1" s="1"/>
</calcChain>
</file>

<file path=xl/sharedStrings.xml><?xml version="1.0" encoding="utf-8"?>
<sst xmlns="http://schemas.openxmlformats.org/spreadsheetml/2006/main" count="142" uniqueCount="85">
  <si>
    <t>1.1</t>
  </si>
  <si>
    <t>Acta de constitución del proyecto</t>
  </si>
  <si>
    <t>2.1</t>
  </si>
  <si>
    <t>Plan de gestión del alcance</t>
  </si>
  <si>
    <t>2.2</t>
  </si>
  <si>
    <t>Plan de gestión temporal</t>
  </si>
  <si>
    <t>2.3</t>
  </si>
  <si>
    <t>Plan de gestión de los costes</t>
  </si>
  <si>
    <t>Control de Costes</t>
  </si>
  <si>
    <t>2.4</t>
  </si>
  <si>
    <t>Plan de gestión de la calidad</t>
  </si>
  <si>
    <t>Control de Costes (2/61)</t>
  </si>
  <si>
    <t>2.5</t>
  </si>
  <si>
    <t>Plan de gestión de recursos humanos</t>
  </si>
  <si>
    <t xml:space="preserve"> Administración Recursos humanos</t>
  </si>
  <si>
    <t>2.6</t>
  </si>
  <si>
    <t>Plan de la gestión de la comunicación</t>
  </si>
  <si>
    <t xml:space="preserve"> Administración Recursos humanos (1/60)</t>
  </si>
  <si>
    <t>Plan de la gestión de la comunicación (1/3)</t>
  </si>
  <si>
    <t>TOTAL</t>
  </si>
  <si>
    <t>Control de calidad</t>
  </si>
  <si>
    <t>Plan de la gestión de la comunicación (2/3)</t>
  </si>
  <si>
    <t>Control de calidad (5/59)</t>
  </si>
  <si>
    <t>Control de Costes (5/61)</t>
  </si>
  <si>
    <t xml:space="preserve"> Administración Recursos humanos (5/60)</t>
  </si>
  <si>
    <t>Control de las comunicaciones</t>
  </si>
  <si>
    <t>2.7</t>
  </si>
  <si>
    <t>Plan de la gestión de los riesgos</t>
  </si>
  <si>
    <t>2.7.1</t>
  </si>
  <si>
    <t>Identificación de los riesgos</t>
  </si>
  <si>
    <t>Control de las comunicaciones (3/57)</t>
  </si>
  <si>
    <t>Plan de la gestión de los riesgos (3/16)</t>
  </si>
  <si>
    <t>TOTAL OCTUBRE</t>
  </si>
  <si>
    <t>ID</t>
  </si>
  <si>
    <t>TAREA</t>
  </si>
  <si>
    <t>RECURSOS</t>
  </si>
  <si>
    <t>FECHA</t>
  </si>
  <si>
    <t>Control de Costes (14/61)</t>
  </si>
  <si>
    <t>Control de calidad (14/59)</t>
  </si>
  <si>
    <t xml:space="preserve"> Administración Recursos humanos (14/60)</t>
  </si>
  <si>
    <t>Control de las comunicaciones (14/57)</t>
  </si>
  <si>
    <t>Control de Riesgos</t>
  </si>
  <si>
    <t>Plan de la gestión de los riesgos (13/16)+</t>
  </si>
  <si>
    <t>2.7+</t>
  </si>
  <si>
    <t>Control de Riesgos (1/41)</t>
  </si>
  <si>
    <t>2.8</t>
  </si>
  <si>
    <t xml:space="preserve"> Plan elección empresa subcontratada diseño de red LTE  </t>
  </si>
  <si>
    <t>2.8+</t>
  </si>
  <si>
    <t xml:space="preserve"> Plan elección empresa subcontratada diseño de red LTE + </t>
  </si>
  <si>
    <t>Diseño red LTE  empresa subcontratada y seguimiento (4/40)</t>
  </si>
  <si>
    <t>Control de Costes (10/61)</t>
  </si>
  <si>
    <t>Control de calidad (10/59)</t>
  </si>
  <si>
    <t xml:space="preserve"> Administración Recursos humanos (10/60)</t>
  </si>
  <si>
    <t>Control de las comunicaciones (10/57)</t>
  </si>
  <si>
    <t>Control de Riesgos (10/41)</t>
  </si>
  <si>
    <t>Diseño red LTE  empresa subcontratada y seguimiento (10/40)</t>
  </si>
  <si>
    <t>TOTAL NOVIEMBRE</t>
  </si>
  <si>
    <t>Diseño red LTE  empresa subcontratada y seguimiento</t>
  </si>
  <si>
    <t>Plan gestión de adquisiciones</t>
  </si>
  <si>
    <t>Ejecución de pruebas</t>
  </si>
  <si>
    <t>Proceso de cierre</t>
  </si>
  <si>
    <t>se pueden repartir para el diseño una parte y para la ejecucion de pruebas otra</t>
  </si>
  <si>
    <t>TOTAL DICIEMBRE</t>
  </si>
  <si>
    <t>€</t>
  </si>
  <si>
    <t>MAS RECURSOS MATERIALES</t>
  </si>
  <si>
    <t>MAS RESERVAS CONTINGENCIAS</t>
  </si>
  <si>
    <t>Control de Costes (17/61)</t>
  </si>
  <si>
    <t>Control de calidad (17/59)</t>
  </si>
  <si>
    <t xml:space="preserve"> Administración Recursos humanos (17/60)</t>
  </si>
  <si>
    <t>Control de las comunicaciones (17/57)</t>
  </si>
  <si>
    <t>Control de Riesgos (17/41)</t>
  </si>
  <si>
    <t>Diseño red LTE  empresa subcontratada y seguimiento (17/40)</t>
  </si>
  <si>
    <t>Diseño red LTE  empresa subcontratada y seguimiento (9/40)</t>
  </si>
  <si>
    <t>Control de Costes (13/61)</t>
  </si>
  <si>
    <t>Control de calidad (13/59)</t>
  </si>
  <si>
    <t xml:space="preserve"> Administración Recursos humanos (13/60)</t>
  </si>
  <si>
    <t>Control de las comunicaciones (13/57)</t>
  </si>
  <si>
    <t>Control de Riesgos (13/41)</t>
  </si>
  <si>
    <t>TOTAL ENERO</t>
  </si>
  <si>
    <t>50000€ para empresa subcontratada a repartir</t>
  </si>
  <si>
    <t>2.3.2</t>
  </si>
  <si>
    <t>2.5.3</t>
  </si>
  <si>
    <t>2.4.3</t>
  </si>
  <si>
    <t>2.6.3</t>
  </si>
  <si>
    <t>2.7.6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</si>
</sst>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0" fillId="3" borderId="0" xfId="0" applyFill="1"/>
    <xf numFmtId="0" fontId="0" fillId="5" borderId="0" xfId="0" applyFill="1"/>
    <xf numFmtId="0" fontId="0" fillId="0" borderId="0" xfId="0" applyFont="1" applyFill="1" applyBorder="1" applyAlignment="1">
      <alignment horizontal="right"/>
    </xf>
    <xf numFmtId="14" fontId="0" fillId="4" borderId="0" xfId="0" applyNumberFormat="1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/>
    </xf>
    <xf numFmtId="1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Maria/Dropbox/Proyecto%20Gesti&#243;n/Vfinal%20E5/Actividades%20y%20cos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4">
          <cell r="I4">
            <v>400</v>
          </cell>
        </row>
        <row r="7">
          <cell r="I7">
            <v>700</v>
          </cell>
        </row>
        <row r="8">
          <cell r="I8">
            <v>235.20000000000002</v>
          </cell>
        </row>
        <row r="9">
          <cell r="I9">
            <v>201.60000000000002</v>
          </cell>
        </row>
        <row r="10">
          <cell r="I10">
            <v>160</v>
          </cell>
        </row>
        <row r="11">
          <cell r="I11">
            <v>100.8</v>
          </cell>
        </row>
        <row r="12">
          <cell r="I12">
            <v>57.599999999999994</v>
          </cell>
        </row>
        <row r="13">
          <cell r="I13">
            <v>40</v>
          </cell>
        </row>
        <row r="14">
          <cell r="I14">
            <v>168</v>
          </cell>
        </row>
        <row r="15">
          <cell r="I15">
            <v>76.800000000000011</v>
          </cell>
        </row>
        <row r="16">
          <cell r="I16">
            <v>240.00000000000003</v>
          </cell>
        </row>
        <row r="17">
          <cell r="I17">
            <v>201.60000000000002</v>
          </cell>
        </row>
        <row r="18">
          <cell r="I18">
            <v>57.600000000000009</v>
          </cell>
        </row>
        <row r="20">
          <cell r="I20">
            <v>300</v>
          </cell>
        </row>
        <row r="21">
          <cell r="I21">
            <v>252</v>
          </cell>
        </row>
        <row r="23">
          <cell r="I23">
            <v>302.39999999999998</v>
          </cell>
        </row>
        <row r="24">
          <cell r="I24">
            <v>115.20000000000002</v>
          </cell>
        </row>
        <row r="25">
          <cell r="I25">
            <v>8467.1999999999989</v>
          </cell>
        </row>
        <row r="26">
          <cell r="I26">
            <v>1220</v>
          </cell>
        </row>
        <row r="28">
          <cell r="I28">
            <v>252</v>
          </cell>
        </row>
        <row r="29">
          <cell r="I29">
            <v>144</v>
          </cell>
        </row>
        <row r="30">
          <cell r="I30">
            <v>252</v>
          </cell>
        </row>
        <row r="31">
          <cell r="I31">
            <v>144</v>
          </cell>
        </row>
        <row r="32">
          <cell r="I32">
            <v>6938.4</v>
          </cell>
        </row>
        <row r="33">
          <cell r="I33">
            <v>1180</v>
          </cell>
        </row>
        <row r="34">
          <cell r="I34">
            <v>1948.8000000000002</v>
          </cell>
        </row>
        <row r="36">
          <cell r="I36">
            <v>100.8</v>
          </cell>
        </row>
        <row r="37">
          <cell r="I37">
            <v>76.800000000000011</v>
          </cell>
        </row>
        <row r="38">
          <cell r="I38">
            <v>67.2</v>
          </cell>
        </row>
        <row r="39">
          <cell r="I39">
            <v>115.19999999999999</v>
          </cell>
        </row>
        <row r="40">
          <cell r="I40">
            <v>5040</v>
          </cell>
        </row>
        <row r="41">
          <cell r="I41">
            <v>1200</v>
          </cell>
        </row>
        <row r="43">
          <cell r="I43">
            <v>126</v>
          </cell>
        </row>
        <row r="44">
          <cell r="I44">
            <v>144</v>
          </cell>
        </row>
        <row r="45">
          <cell r="I45">
            <v>126</v>
          </cell>
        </row>
        <row r="46">
          <cell r="I46">
            <v>144</v>
          </cell>
        </row>
        <row r="47">
          <cell r="I47">
            <v>1915.2</v>
          </cell>
        </row>
        <row r="48">
          <cell r="I48">
            <v>5700</v>
          </cell>
        </row>
        <row r="50">
          <cell r="I50">
            <v>1344</v>
          </cell>
        </row>
        <row r="51">
          <cell r="I51">
            <v>768</v>
          </cell>
        </row>
        <row r="52">
          <cell r="I52">
            <v>252</v>
          </cell>
        </row>
        <row r="53">
          <cell r="I53">
            <v>144</v>
          </cell>
        </row>
        <row r="54">
          <cell r="I54">
            <v>168</v>
          </cell>
        </row>
        <row r="55">
          <cell r="I55">
            <v>96</v>
          </cell>
        </row>
        <row r="56">
          <cell r="I56">
            <v>168</v>
          </cell>
        </row>
        <row r="57">
          <cell r="I57">
            <v>96</v>
          </cell>
        </row>
        <row r="58">
          <cell r="I58">
            <v>420</v>
          </cell>
        </row>
        <row r="59">
          <cell r="I59">
            <v>240</v>
          </cell>
        </row>
        <row r="60">
          <cell r="I60">
            <v>5510.4000000000005</v>
          </cell>
        </row>
        <row r="61">
          <cell r="I61">
            <v>1640.0000000000002</v>
          </cell>
        </row>
        <row r="63">
          <cell r="I63">
            <v>320</v>
          </cell>
        </row>
        <row r="64">
          <cell r="I64">
            <v>537.6</v>
          </cell>
        </row>
        <row r="65">
          <cell r="I65">
            <v>307.20000000000005</v>
          </cell>
        </row>
        <row r="66">
          <cell r="I66">
            <v>60</v>
          </cell>
        </row>
        <row r="67">
          <cell r="I67">
            <v>67.2</v>
          </cell>
        </row>
        <row r="68">
          <cell r="I68">
            <v>19.200000000000003</v>
          </cell>
        </row>
        <row r="69">
          <cell r="I69">
            <v>268.8</v>
          </cell>
        </row>
        <row r="70">
          <cell r="I70">
            <v>240</v>
          </cell>
        </row>
        <row r="71">
          <cell r="I71">
            <v>67.2</v>
          </cell>
        </row>
        <row r="72">
          <cell r="I72">
            <v>67.2</v>
          </cell>
        </row>
        <row r="73">
          <cell r="I73">
            <v>38.400000000000006</v>
          </cell>
        </row>
        <row r="74">
          <cell r="I74">
            <v>60</v>
          </cell>
        </row>
        <row r="75">
          <cell r="I75">
            <v>67.2</v>
          </cell>
        </row>
        <row r="76">
          <cell r="I76">
            <v>28.799999999999997</v>
          </cell>
        </row>
        <row r="77">
          <cell r="I77">
            <v>60</v>
          </cell>
        </row>
        <row r="78">
          <cell r="I78">
            <v>67.2</v>
          </cell>
        </row>
        <row r="79">
          <cell r="I79">
            <v>19.200000000000003</v>
          </cell>
        </row>
        <row r="81">
          <cell r="I81">
            <v>672</v>
          </cell>
        </row>
        <row r="82">
          <cell r="I82">
            <v>0</v>
          </cell>
        </row>
        <row r="83">
          <cell r="I83">
            <v>4704</v>
          </cell>
        </row>
        <row r="84">
          <cell r="I84">
            <v>2400</v>
          </cell>
        </row>
        <row r="86">
          <cell r="I86">
            <v>134.4</v>
          </cell>
        </row>
        <row r="87">
          <cell r="I87">
            <v>76.800000000000011</v>
          </cell>
        </row>
        <row r="88">
          <cell r="I88">
            <v>33.6</v>
          </cell>
        </row>
        <row r="89">
          <cell r="I89">
            <v>19.200000000000003</v>
          </cell>
        </row>
        <row r="90">
          <cell r="I90">
            <v>420</v>
          </cell>
        </row>
        <row r="91">
          <cell r="I91">
            <v>240</v>
          </cell>
        </row>
        <row r="92">
          <cell r="I92">
            <v>33.6</v>
          </cell>
        </row>
        <row r="93">
          <cell r="I93">
            <v>19.200000000000003</v>
          </cell>
        </row>
        <row r="95">
          <cell r="I95">
            <v>403.2</v>
          </cell>
        </row>
        <row r="96">
          <cell r="I96">
            <v>307.20000000000005</v>
          </cell>
        </row>
        <row r="97">
          <cell r="I97">
            <v>0</v>
          </cell>
        </row>
        <row r="98">
          <cell r="I98">
            <v>134.4</v>
          </cell>
        </row>
        <row r="99">
          <cell r="I99">
            <v>38.400000000000006</v>
          </cell>
        </row>
        <row r="100">
          <cell r="I100">
            <v>0</v>
          </cell>
        </row>
        <row r="101">
          <cell r="I101">
            <v>134.4</v>
          </cell>
        </row>
        <row r="102">
          <cell r="I102">
            <v>38.400000000000006</v>
          </cell>
        </row>
        <row r="103">
          <cell r="I103">
            <v>0</v>
          </cell>
        </row>
        <row r="105">
          <cell r="I105">
            <v>120.00000000000001</v>
          </cell>
        </row>
        <row r="106">
          <cell r="I106">
            <v>1080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zoomScale="82" zoomScaleNormal="82" workbookViewId="0">
      <selection activeCell="I11" sqref="I11"/>
    </sheetView>
  </sheetViews>
  <sheetFormatPr baseColWidth="10" defaultRowHeight="15" x14ac:dyDescent="0.25"/>
  <cols>
    <col min="3" max="3" width="6.7109375" customWidth="1"/>
    <col min="4" max="4" width="52.28515625" customWidth="1"/>
    <col min="7" max="7" width="26" customWidth="1"/>
    <col min="13" max="13" width="51.5703125" customWidth="1"/>
    <col min="14" max="14" width="16.85546875" customWidth="1"/>
  </cols>
  <sheetData>
    <row r="1" spans="1:16" x14ac:dyDescent="0.25">
      <c r="A1" s="10" t="s">
        <v>36</v>
      </c>
      <c r="B1" s="10"/>
      <c r="C1" s="10" t="s">
        <v>33</v>
      </c>
      <c r="D1" s="10" t="s">
        <v>34</v>
      </c>
      <c r="E1" s="10" t="s">
        <v>35</v>
      </c>
      <c r="F1" s="10" t="s">
        <v>19</v>
      </c>
      <c r="J1" s="10" t="s">
        <v>36</v>
      </c>
      <c r="K1" s="10"/>
      <c r="L1" s="10" t="s">
        <v>33</v>
      </c>
      <c r="M1" s="10" t="s">
        <v>34</v>
      </c>
      <c r="N1" s="10" t="s">
        <v>35</v>
      </c>
    </row>
    <row r="2" spans="1:16" x14ac:dyDescent="0.25">
      <c r="A2" s="10"/>
      <c r="B2" s="10"/>
      <c r="C2" s="10"/>
      <c r="D2" s="10"/>
      <c r="E2" s="10" t="s">
        <v>63</v>
      </c>
      <c r="F2" s="10"/>
      <c r="J2" s="10"/>
      <c r="K2" s="10"/>
      <c r="L2" s="10"/>
      <c r="M2" s="10"/>
      <c r="N2" s="10" t="s">
        <v>63</v>
      </c>
    </row>
    <row r="3" spans="1:16" x14ac:dyDescent="0.25">
      <c r="A3" s="13">
        <v>42646</v>
      </c>
      <c r="B3" s="13">
        <v>42657</v>
      </c>
      <c r="C3" s="4" t="s">
        <v>0</v>
      </c>
      <c r="D3" s="3" t="s">
        <v>1</v>
      </c>
      <c r="E3">
        <f>[1]Hoja1!$I$4</f>
        <v>400</v>
      </c>
      <c r="J3" s="9">
        <v>42646</v>
      </c>
      <c r="K3" s="9">
        <v>42647</v>
      </c>
      <c r="L3" s="1" t="s">
        <v>0</v>
      </c>
      <c r="M3" s="2" t="s">
        <v>1</v>
      </c>
      <c r="N3">
        <f>SUM([1]Hoja1!$I$4)</f>
        <v>400</v>
      </c>
    </row>
    <row r="4" spans="1:16" x14ac:dyDescent="0.25">
      <c r="A4" s="14"/>
      <c r="B4" s="14"/>
      <c r="C4" s="3" t="s">
        <v>2</v>
      </c>
      <c r="D4" s="3" t="s">
        <v>3</v>
      </c>
      <c r="E4">
        <f>SUM([1]Hoja1!$I$7:$I$18)</f>
        <v>2239.1999999999998</v>
      </c>
      <c r="J4" s="9">
        <v>42648</v>
      </c>
      <c r="K4" s="9">
        <v>42657</v>
      </c>
      <c r="L4" s="2" t="s">
        <v>2</v>
      </c>
      <c r="M4" s="2" t="s">
        <v>3</v>
      </c>
      <c r="N4">
        <f>SUM([1]Hoja1!$I$7:$I$18)</f>
        <v>2239.1999999999998</v>
      </c>
      <c r="O4" t="s">
        <v>64</v>
      </c>
    </row>
    <row r="5" spans="1:16" x14ac:dyDescent="0.25">
      <c r="A5" s="14"/>
      <c r="B5" s="14"/>
      <c r="C5" s="3"/>
      <c r="D5" s="3"/>
      <c r="E5" s="7" t="s">
        <v>19</v>
      </c>
      <c r="F5" s="7">
        <f>SUM(E3:E4)</f>
        <v>2639.2</v>
      </c>
      <c r="J5" s="9">
        <v>42660</v>
      </c>
      <c r="K5" s="9">
        <v>42662</v>
      </c>
      <c r="L5" s="1" t="s">
        <v>4</v>
      </c>
      <c r="M5" s="2" t="s">
        <v>5</v>
      </c>
      <c r="N5">
        <f>SUM([1]Hoja1!$I$20:$I$21)</f>
        <v>552</v>
      </c>
    </row>
    <row r="6" spans="1:16" x14ac:dyDescent="0.25">
      <c r="A6" s="13">
        <v>42660</v>
      </c>
      <c r="B6" s="13">
        <v>42664</v>
      </c>
      <c r="C6" s="4" t="s">
        <v>4</v>
      </c>
      <c r="D6" s="3" t="s">
        <v>5</v>
      </c>
      <c r="E6">
        <f>[1]Hoja1!$I$20+[1]Hoja1!$I$21</f>
        <v>552</v>
      </c>
      <c r="J6" s="9">
        <v>42660</v>
      </c>
      <c r="K6" s="9">
        <v>42662</v>
      </c>
      <c r="L6" s="1" t="s">
        <v>6</v>
      </c>
      <c r="M6" s="2" t="s">
        <v>7</v>
      </c>
      <c r="N6">
        <f>SUM([1]Hoja1!$I$23:$I$24)</f>
        <v>417.6</v>
      </c>
    </row>
    <row r="7" spans="1:16" x14ac:dyDescent="0.25">
      <c r="A7" s="14"/>
      <c r="B7" s="14"/>
      <c r="C7" s="4" t="s">
        <v>6</v>
      </c>
      <c r="D7" s="3" t="s">
        <v>7</v>
      </c>
      <c r="E7">
        <f>SUM([1]Hoja1!$I$23:$I$24)</f>
        <v>417.6</v>
      </c>
      <c r="J7" s="9">
        <v>42662</v>
      </c>
      <c r="K7" s="9">
        <v>42664</v>
      </c>
      <c r="L7" s="1" t="s">
        <v>9</v>
      </c>
      <c r="M7" s="2" t="s">
        <v>10</v>
      </c>
      <c r="N7">
        <f>SUM([1]Hoja1!$I$28:$I$31)</f>
        <v>792</v>
      </c>
    </row>
    <row r="8" spans="1:16" x14ac:dyDescent="0.25">
      <c r="A8" s="14"/>
      <c r="B8" s="14"/>
      <c r="C8" s="5" t="s">
        <v>80</v>
      </c>
      <c r="D8" s="5" t="s">
        <v>11</v>
      </c>
      <c r="E8">
        <f>2/61*SUM([1]Hoja1!$I$25:$I$26)</f>
        <v>317.61311475409832</v>
      </c>
      <c r="J8" s="9">
        <v>42662</v>
      </c>
      <c r="K8" s="9">
        <v>42663</v>
      </c>
      <c r="L8" s="1" t="s">
        <v>12</v>
      </c>
      <c r="M8" s="2" t="s">
        <v>13</v>
      </c>
      <c r="N8">
        <f>SUM([1]Hoja1!$I$36:$I$39)</f>
        <v>360</v>
      </c>
    </row>
    <row r="9" spans="1:16" x14ac:dyDescent="0.25">
      <c r="A9" s="14"/>
      <c r="B9" s="14"/>
      <c r="C9" s="4" t="s">
        <v>9</v>
      </c>
      <c r="D9" s="3" t="s">
        <v>10</v>
      </c>
      <c r="E9">
        <f>SUM([1]Hoja1!$I$28:$I$31)</f>
        <v>792</v>
      </c>
      <c r="J9" s="9">
        <v>42663</v>
      </c>
      <c r="K9" s="9">
        <v>42754</v>
      </c>
      <c r="L9" s="12" t="s">
        <v>80</v>
      </c>
      <c r="M9" s="12" t="s">
        <v>8</v>
      </c>
      <c r="N9">
        <f>SUM([1]Hoja1!$I$25,[1]Hoja1!$I$26)</f>
        <v>9687.1999999999989</v>
      </c>
    </row>
    <row r="10" spans="1:16" x14ac:dyDescent="0.25">
      <c r="A10" s="14"/>
      <c r="B10" s="14"/>
      <c r="C10" s="4" t="s">
        <v>12</v>
      </c>
      <c r="D10" s="3" t="s">
        <v>13</v>
      </c>
      <c r="E10">
        <f>SUM([1]Hoja1!$I$36:$I$39)</f>
        <v>360</v>
      </c>
      <c r="J10" s="9">
        <v>42664</v>
      </c>
      <c r="K10" s="9">
        <v>42754</v>
      </c>
      <c r="L10" s="12" t="s">
        <v>81</v>
      </c>
      <c r="M10" s="12" t="s">
        <v>14</v>
      </c>
      <c r="N10">
        <f>SUM([1]Hoja1!$I$40:$I$41)</f>
        <v>6240</v>
      </c>
    </row>
    <row r="11" spans="1:16" x14ac:dyDescent="0.25">
      <c r="A11" s="14"/>
      <c r="B11" s="14"/>
      <c r="C11" s="5" t="s">
        <v>81</v>
      </c>
      <c r="D11" s="5" t="s">
        <v>17</v>
      </c>
      <c r="E11">
        <f>1/60*SUM([1]Hoja1!$I$40:$I$41)</f>
        <v>104</v>
      </c>
      <c r="J11" s="9">
        <v>42664</v>
      </c>
      <c r="K11" s="9">
        <v>42668</v>
      </c>
      <c r="L11" s="1" t="s">
        <v>15</v>
      </c>
      <c r="M11" s="2" t="s">
        <v>16</v>
      </c>
      <c r="N11">
        <f>SUM([1]Hoja1!$I$43:$I$46)</f>
        <v>540</v>
      </c>
    </row>
    <row r="12" spans="1:16" x14ac:dyDescent="0.25">
      <c r="A12" s="14"/>
      <c r="B12" s="14"/>
      <c r="C12" s="4" t="s">
        <v>15</v>
      </c>
      <c r="D12" s="3" t="s">
        <v>18</v>
      </c>
      <c r="E12">
        <f>1/3*SUM([1]Hoja1!$I$43:$I$46)</f>
        <v>180</v>
      </c>
      <c r="J12" s="9">
        <v>42667</v>
      </c>
      <c r="K12" s="9">
        <v>42754</v>
      </c>
      <c r="L12" s="12" t="s">
        <v>82</v>
      </c>
      <c r="M12" s="12" t="s">
        <v>20</v>
      </c>
      <c r="N12">
        <f>SUM([1]Hoja1!$I$32:$I$34)</f>
        <v>10067.200000000001</v>
      </c>
    </row>
    <row r="13" spans="1:16" x14ac:dyDescent="0.25">
      <c r="A13" s="14"/>
      <c r="B13" s="14"/>
      <c r="E13" s="7" t="s">
        <v>19</v>
      </c>
      <c r="F13" s="7">
        <f>SUM(E6:E12)</f>
        <v>2723.2131147540986</v>
      </c>
      <c r="J13" s="9">
        <v>42669</v>
      </c>
      <c r="K13" s="9">
        <v>42754</v>
      </c>
      <c r="L13" s="12" t="s">
        <v>83</v>
      </c>
      <c r="M13" s="12" t="s">
        <v>25</v>
      </c>
      <c r="N13">
        <f>SUM([1]Hoja1!$I$47:$I$48)</f>
        <v>7615.2</v>
      </c>
    </row>
    <row r="14" spans="1:16" x14ac:dyDescent="0.25">
      <c r="A14" s="13">
        <v>42667</v>
      </c>
      <c r="B14" s="13">
        <v>42671</v>
      </c>
      <c r="C14" s="5" t="s">
        <v>80</v>
      </c>
      <c r="D14" s="5" t="s">
        <v>23</v>
      </c>
      <c r="E14">
        <f>5/61*SUM([1]Hoja1!$I$25:$I$26)</f>
        <v>794.03278688524574</v>
      </c>
      <c r="J14" s="9">
        <v>42669</v>
      </c>
      <c r="K14" s="9">
        <v>42691</v>
      </c>
      <c r="L14" s="1" t="s">
        <v>26</v>
      </c>
      <c r="M14" s="2" t="s">
        <v>27</v>
      </c>
      <c r="N14">
        <f>SUM([1]Hoja1!$I$50:$I$59)</f>
        <v>3696</v>
      </c>
    </row>
    <row r="15" spans="1:16" x14ac:dyDescent="0.25">
      <c r="A15" s="14"/>
      <c r="B15" s="14"/>
      <c r="C15" s="5" t="s">
        <v>82</v>
      </c>
      <c r="D15" s="5" t="s">
        <v>22</v>
      </c>
      <c r="E15">
        <f>5/59*SUM([1]Hoja1!$I$32:$I$34)</f>
        <v>853.15254237288138</v>
      </c>
      <c r="J15" s="9">
        <v>42677</v>
      </c>
      <c r="K15" s="9">
        <v>42688</v>
      </c>
      <c r="L15" s="1" t="s">
        <v>45</v>
      </c>
      <c r="M15" s="2" t="s">
        <v>46</v>
      </c>
      <c r="N15">
        <f>SUM([1]Hoja1!$I$63:$I$79)</f>
        <v>2295.1999999999998</v>
      </c>
      <c r="O15">
        <v>50000</v>
      </c>
      <c r="P15" t="s">
        <v>61</v>
      </c>
    </row>
    <row r="16" spans="1:16" x14ac:dyDescent="0.25">
      <c r="A16" s="14"/>
      <c r="B16" s="14"/>
      <c r="C16" s="5" t="s">
        <v>81</v>
      </c>
      <c r="D16" s="5" t="s">
        <v>24</v>
      </c>
      <c r="E16">
        <f>5/60*SUM([1]Hoja1!$I$40:$I$41)</f>
        <v>520</v>
      </c>
      <c r="J16" s="9">
        <v>42689</v>
      </c>
      <c r="K16" s="9">
        <v>42748</v>
      </c>
      <c r="L16" s="1">
        <v>3</v>
      </c>
      <c r="M16" s="2" t="s">
        <v>57</v>
      </c>
      <c r="N16">
        <f>SUM([1]Hoja1!$I$81:$I$84)</f>
        <v>7776</v>
      </c>
    </row>
    <row r="17" spans="1:15" x14ac:dyDescent="0.25">
      <c r="A17" s="14"/>
      <c r="B17" s="14"/>
      <c r="C17" s="4" t="s">
        <v>15</v>
      </c>
      <c r="D17" s="3" t="s">
        <v>21</v>
      </c>
      <c r="E17">
        <f>2/3*SUM([1]Hoja1!$I$43:$I$46)</f>
        <v>360</v>
      </c>
      <c r="J17" s="9">
        <v>42692</v>
      </c>
      <c r="K17" s="9">
        <v>42754</v>
      </c>
      <c r="L17" s="12" t="s">
        <v>84</v>
      </c>
      <c r="M17" s="12" t="s">
        <v>41</v>
      </c>
      <c r="N17">
        <f>SUM([1]Hoja1!$I$60:$I$61)</f>
        <v>7150.4000000000005</v>
      </c>
      <c r="O17" t="s">
        <v>65</v>
      </c>
    </row>
    <row r="18" spans="1:15" x14ac:dyDescent="0.25">
      <c r="A18" s="14"/>
      <c r="B18" s="14"/>
      <c r="C18" s="5" t="s">
        <v>83</v>
      </c>
      <c r="D18" s="5" t="s">
        <v>30</v>
      </c>
      <c r="E18">
        <f>3/57*SUM([1]Hoja1!$I$47:$I$48)</f>
        <v>400.79999999999995</v>
      </c>
      <c r="J18" s="9">
        <v>42738</v>
      </c>
      <c r="K18" s="9">
        <v>42748</v>
      </c>
      <c r="L18" s="1">
        <v>4</v>
      </c>
      <c r="M18" s="2" t="s">
        <v>58</v>
      </c>
      <c r="N18">
        <f>SUM([1]Hoja1!$I$86:$I$93)</f>
        <v>976.80000000000007</v>
      </c>
    </row>
    <row r="19" spans="1:15" x14ac:dyDescent="0.25">
      <c r="A19" s="14"/>
      <c r="B19" s="14"/>
      <c r="C19" s="4" t="s">
        <v>26</v>
      </c>
      <c r="D19" s="3" t="s">
        <v>31</v>
      </c>
      <c r="E19">
        <f>3/16*SUM([1]Hoja1!$I$50:$I$51)</f>
        <v>396</v>
      </c>
      <c r="J19" s="9">
        <v>42751</v>
      </c>
      <c r="K19" s="9">
        <v>42754</v>
      </c>
      <c r="L19" s="1">
        <v>5</v>
      </c>
      <c r="M19" s="2" t="s">
        <v>59</v>
      </c>
      <c r="N19">
        <f>SUM([1]Hoja1!$I$95:$I$103)</f>
        <v>1056</v>
      </c>
    </row>
    <row r="20" spans="1:15" x14ac:dyDescent="0.25">
      <c r="A20" s="14"/>
      <c r="B20" s="14"/>
      <c r="C20" s="8" t="s">
        <v>28</v>
      </c>
      <c r="D20" s="8" t="s">
        <v>29</v>
      </c>
      <c r="E20">
        <f>SUM([1]Hoja1!$I$52:$I$53)</f>
        <v>396</v>
      </c>
      <c r="J20" s="9">
        <v>42755</v>
      </c>
      <c r="K20" s="9">
        <v>42762</v>
      </c>
      <c r="L20" s="1">
        <v>6</v>
      </c>
      <c r="M20" s="2" t="s">
        <v>60</v>
      </c>
      <c r="N20">
        <f>SUM([1]Hoja1!$I$105:$I$106)</f>
        <v>1200</v>
      </c>
    </row>
    <row r="21" spans="1:15" x14ac:dyDescent="0.25">
      <c r="A21" s="14"/>
      <c r="B21" s="14"/>
      <c r="E21" s="7" t="s">
        <v>19</v>
      </c>
      <c r="F21" s="7">
        <f>SUM(E14:E20)</f>
        <v>3719.9853292581274</v>
      </c>
    </row>
    <row r="22" spans="1:15" x14ac:dyDescent="0.25">
      <c r="A22" s="15"/>
      <c r="B22" s="15"/>
      <c r="C22" s="6"/>
      <c r="D22" s="6" t="s">
        <v>32</v>
      </c>
      <c r="E22" s="6"/>
      <c r="F22" s="6">
        <f>SUM(F5,F13,F21)</f>
        <v>9082.3984440122258</v>
      </c>
      <c r="N22">
        <f>SUM(N3:N20)</f>
        <v>63060.800000000003</v>
      </c>
    </row>
    <row r="23" spans="1:15" x14ac:dyDescent="0.25">
      <c r="A23" s="13">
        <v>42674</v>
      </c>
      <c r="B23" s="13">
        <v>42692</v>
      </c>
      <c r="C23" s="5" t="s">
        <v>80</v>
      </c>
      <c r="D23" s="5" t="s">
        <v>37</v>
      </c>
      <c r="E23">
        <f>14/61*SUM([1]Hoja1!$I$25:$I$26)</f>
        <v>2223.2918032786883</v>
      </c>
    </row>
    <row r="24" spans="1:15" x14ac:dyDescent="0.25">
      <c r="A24" s="14"/>
      <c r="B24" s="14"/>
      <c r="C24" s="5" t="s">
        <v>82</v>
      </c>
      <c r="D24" s="5" t="s">
        <v>38</v>
      </c>
      <c r="E24">
        <f>14/59*SUM([1]Hoja1!$I$32:$I$34)</f>
        <v>2388.8271186440679</v>
      </c>
    </row>
    <row r="25" spans="1:15" x14ac:dyDescent="0.25">
      <c r="A25" s="14"/>
      <c r="B25" s="14"/>
      <c r="C25" s="5" t="s">
        <v>81</v>
      </c>
      <c r="D25" s="5" t="s">
        <v>39</v>
      </c>
      <c r="E25">
        <f>14/60*SUM([1]Hoja1!$I$40:$I$41)</f>
        <v>1456</v>
      </c>
    </row>
    <row r="26" spans="1:15" x14ac:dyDescent="0.25">
      <c r="A26" s="14"/>
      <c r="B26" s="14"/>
      <c r="C26" s="5" t="s">
        <v>83</v>
      </c>
      <c r="D26" s="5" t="s">
        <v>40</v>
      </c>
      <c r="E26">
        <f>14/57*SUM([1]Hoja1!$I$47:$I$48)</f>
        <v>1870.3999999999999</v>
      </c>
    </row>
    <row r="27" spans="1:15" x14ac:dyDescent="0.25">
      <c r="A27" s="14"/>
      <c r="B27" s="14"/>
      <c r="C27" s="4" t="s">
        <v>43</v>
      </c>
      <c r="D27" s="3" t="s">
        <v>42</v>
      </c>
      <c r="E27">
        <f>(13/16*SUM([1]Hoja1!$I$50:$I$51))+SUM([1]Hoja1!$I$52:$I$59)</f>
        <v>3300</v>
      </c>
    </row>
    <row r="28" spans="1:15" s="11" customFormat="1" x14ac:dyDescent="0.25">
      <c r="A28" s="14"/>
      <c r="B28" s="14"/>
      <c r="C28" s="5" t="s">
        <v>84</v>
      </c>
      <c r="D28" s="5" t="s">
        <v>44</v>
      </c>
      <c r="E28" s="11">
        <f>1/41*SUM([1]Hoja1!$I$60:$I$61)</f>
        <v>174.4</v>
      </c>
      <c r="G28" s="11" t="s">
        <v>65</v>
      </c>
    </row>
    <row r="29" spans="1:15" x14ac:dyDescent="0.25">
      <c r="A29" s="14"/>
      <c r="B29" s="14"/>
      <c r="C29" s="4" t="s">
        <v>47</v>
      </c>
      <c r="D29" s="3" t="s">
        <v>48</v>
      </c>
      <c r="E29">
        <f>SUM([1]Hoja1!$I$63:$I$79)</f>
        <v>2295.1999999999998</v>
      </c>
    </row>
    <row r="30" spans="1:15" x14ac:dyDescent="0.25">
      <c r="A30" s="13">
        <v>42689</v>
      </c>
      <c r="B30" s="14"/>
      <c r="C30" s="4">
        <v>3</v>
      </c>
      <c r="D30" s="3" t="s">
        <v>49</v>
      </c>
      <c r="E30">
        <f>4/40*SUM([1]Hoja1!$I$81:$I$84)</f>
        <v>777.6</v>
      </c>
      <c r="G30" t="s">
        <v>79</v>
      </c>
    </row>
    <row r="31" spans="1:15" x14ac:dyDescent="0.25">
      <c r="A31" s="14"/>
      <c r="B31" s="14"/>
      <c r="E31" s="7" t="s">
        <v>19</v>
      </c>
      <c r="F31" s="7">
        <f>SUM(E23:E30)</f>
        <v>14485.718921922757</v>
      </c>
    </row>
    <row r="32" spans="1:15" x14ac:dyDescent="0.25">
      <c r="A32" s="13">
        <v>42695</v>
      </c>
      <c r="B32" s="13">
        <v>42706</v>
      </c>
      <c r="C32" s="5" t="s">
        <v>80</v>
      </c>
      <c r="D32" s="5" t="s">
        <v>50</v>
      </c>
      <c r="E32">
        <f>10/61*SUM([1]Hoja1!$I$25:$I$26)</f>
        <v>1588.0655737704915</v>
      </c>
    </row>
    <row r="33" spans="1:6" x14ac:dyDescent="0.25">
      <c r="A33" s="14"/>
      <c r="B33" s="14"/>
      <c r="C33" s="5" t="s">
        <v>82</v>
      </c>
      <c r="D33" s="5" t="s">
        <v>51</v>
      </c>
      <c r="E33">
        <f>10/59*SUM([1]Hoja1!$I$32:$I$34)</f>
        <v>1706.3050847457628</v>
      </c>
    </row>
    <row r="34" spans="1:6" x14ac:dyDescent="0.25">
      <c r="A34" s="14"/>
      <c r="B34" s="14"/>
      <c r="C34" s="5" t="s">
        <v>81</v>
      </c>
      <c r="D34" s="5" t="s">
        <v>52</v>
      </c>
      <c r="E34">
        <f>10/60*SUM([1]Hoja1!$I$40:$I$41)</f>
        <v>1040</v>
      </c>
    </row>
    <row r="35" spans="1:6" x14ac:dyDescent="0.25">
      <c r="A35" s="14"/>
      <c r="B35" s="14"/>
      <c r="C35" s="5" t="s">
        <v>83</v>
      </c>
      <c r="D35" s="5" t="s">
        <v>53</v>
      </c>
      <c r="E35">
        <f>10/57*SUM([1]Hoja1!$I$47:$I$48)</f>
        <v>1336</v>
      </c>
    </row>
    <row r="36" spans="1:6" x14ac:dyDescent="0.25">
      <c r="A36" s="14"/>
      <c r="B36" s="14"/>
      <c r="C36" s="5" t="s">
        <v>84</v>
      </c>
      <c r="D36" s="5" t="s">
        <v>54</v>
      </c>
      <c r="E36">
        <f>10/41*SUM([1]Hoja1!$I$60:$I$61)</f>
        <v>1744</v>
      </c>
    </row>
    <row r="37" spans="1:6" x14ac:dyDescent="0.25">
      <c r="A37" s="14"/>
      <c r="B37" s="14"/>
      <c r="C37" s="4">
        <v>3</v>
      </c>
      <c r="D37" s="3" t="s">
        <v>55</v>
      </c>
      <c r="E37">
        <f>10/40*SUM([1]Hoja1!$I$81:$I$84)</f>
        <v>1944</v>
      </c>
    </row>
    <row r="38" spans="1:6" x14ac:dyDescent="0.25">
      <c r="A38" s="14"/>
      <c r="B38" s="14"/>
      <c r="E38" s="7" t="s">
        <v>19</v>
      </c>
      <c r="F38" s="7">
        <f>SUM(E32:E37)</f>
        <v>9358.3706585162545</v>
      </c>
    </row>
    <row r="39" spans="1:6" x14ac:dyDescent="0.25">
      <c r="A39" s="15"/>
      <c r="B39" s="15"/>
      <c r="C39" s="6"/>
      <c r="D39" s="6" t="s">
        <v>56</v>
      </c>
      <c r="E39" s="6"/>
      <c r="F39" s="6">
        <f>SUM(F31,F38)</f>
        <v>23844.089580439009</v>
      </c>
    </row>
    <row r="40" spans="1:6" x14ac:dyDescent="0.25">
      <c r="A40" s="13">
        <v>42709</v>
      </c>
      <c r="B40" s="13">
        <v>42735</v>
      </c>
      <c r="C40" s="5" t="s">
        <v>80</v>
      </c>
      <c r="D40" s="5" t="s">
        <v>66</v>
      </c>
      <c r="E40">
        <f>17/61*SUM([1]Hoja1!$I$25:$I$26)</f>
        <v>2699.7114754098357</v>
      </c>
    </row>
    <row r="41" spans="1:6" x14ac:dyDescent="0.25">
      <c r="A41" s="14"/>
      <c r="B41" s="14"/>
      <c r="C41" s="5" t="s">
        <v>82</v>
      </c>
      <c r="D41" s="5" t="s">
        <v>67</v>
      </c>
      <c r="E41">
        <f>17/59*SUM([1]Hoja1!$I$32:$I$34)</f>
        <v>2900.718644067797</v>
      </c>
    </row>
    <row r="42" spans="1:6" x14ac:dyDescent="0.25">
      <c r="A42" s="14"/>
      <c r="B42" s="14"/>
      <c r="C42" s="5" t="s">
        <v>81</v>
      </c>
      <c r="D42" s="5" t="s">
        <v>68</v>
      </c>
      <c r="E42">
        <f>17/60*SUM([1]Hoja1!$I$40:$I$41)</f>
        <v>1768</v>
      </c>
    </row>
    <row r="43" spans="1:6" x14ac:dyDescent="0.25">
      <c r="A43" s="14"/>
      <c r="B43" s="14"/>
      <c r="C43" s="5" t="s">
        <v>83</v>
      </c>
      <c r="D43" s="5" t="s">
        <v>69</v>
      </c>
      <c r="E43">
        <f>17/57*SUM([1]Hoja1!$I$47:$I$48)</f>
        <v>2271.1999999999998</v>
      </c>
    </row>
    <row r="44" spans="1:6" x14ac:dyDescent="0.25">
      <c r="A44" s="14"/>
      <c r="B44" s="14"/>
      <c r="C44" s="5" t="s">
        <v>84</v>
      </c>
      <c r="D44" s="5" t="s">
        <v>70</v>
      </c>
      <c r="E44">
        <f>17/41*SUM([1]Hoja1!$I$60:$I$61)</f>
        <v>2964.8</v>
      </c>
    </row>
    <row r="45" spans="1:6" x14ac:dyDescent="0.25">
      <c r="A45" s="14"/>
      <c r="B45" s="14"/>
      <c r="C45" s="4">
        <v>3</v>
      </c>
      <c r="D45" s="3" t="s">
        <v>71</v>
      </c>
      <c r="E45">
        <f>17/40*SUM([1]Hoja1!$I$81:$I$84)</f>
        <v>3304.7999999999997</v>
      </c>
    </row>
    <row r="46" spans="1:6" x14ac:dyDescent="0.25">
      <c r="A46" s="14"/>
      <c r="B46" s="14"/>
      <c r="E46" s="7" t="s">
        <v>19</v>
      </c>
      <c r="F46" s="7">
        <f>SUM(E40:E45)</f>
        <v>15909.23011947763</v>
      </c>
    </row>
    <row r="47" spans="1:6" x14ac:dyDescent="0.25">
      <c r="A47" s="15"/>
      <c r="B47" s="15"/>
      <c r="C47" s="6"/>
      <c r="D47" s="6" t="s">
        <v>62</v>
      </c>
      <c r="E47" s="6"/>
      <c r="F47" s="6">
        <f>F46</f>
        <v>15909.23011947763</v>
      </c>
    </row>
    <row r="48" spans="1:6" x14ac:dyDescent="0.25">
      <c r="A48" s="13">
        <v>42737</v>
      </c>
      <c r="B48" s="13">
        <v>42762</v>
      </c>
      <c r="C48" s="5" t="s">
        <v>80</v>
      </c>
      <c r="D48" s="5" t="s">
        <v>73</v>
      </c>
      <c r="E48">
        <f>13/61*SUM([1]Hoja1!$I$25:$I$26)</f>
        <v>2064.4852459016388</v>
      </c>
    </row>
    <row r="49" spans="1:6" x14ac:dyDescent="0.25">
      <c r="A49" s="14"/>
      <c r="B49" s="14"/>
      <c r="C49" s="5" t="s">
        <v>82</v>
      </c>
      <c r="D49" s="5" t="s">
        <v>74</v>
      </c>
      <c r="E49">
        <f>13/59*SUM([1]Hoja1!$I$32:$I$34)</f>
        <v>2218.1966101694916</v>
      </c>
    </row>
    <row r="50" spans="1:6" x14ac:dyDescent="0.25">
      <c r="A50" s="14"/>
      <c r="B50" s="14"/>
      <c r="C50" s="5" t="s">
        <v>81</v>
      </c>
      <c r="D50" s="5" t="s">
        <v>75</v>
      </c>
      <c r="E50">
        <f>13/60*SUM([1]Hoja1!$I$40:$I$41)</f>
        <v>1352</v>
      </c>
    </row>
    <row r="51" spans="1:6" x14ac:dyDescent="0.25">
      <c r="A51" s="14"/>
      <c r="B51" s="14"/>
      <c r="C51" s="5" t="s">
        <v>83</v>
      </c>
      <c r="D51" s="5" t="s">
        <v>76</v>
      </c>
      <c r="E51">
        <f>13/57*SUM([1]Hoja1!$I$47:$I$48)</f>
        <v>1736.8</v>
      </c>
    </row>
    <row r="52" spans="1:6" x14ac:dyDescent="0.25">
      <c r="A52" s="14"/>
      <c r="B52" s="14"/>
      <c r="C52" s="5" t="s">
        <v>84</v>
      </c>
      <c r="D52" s="5" t="s">
        <v>77</v>
      </c>
      <c r="E52">
        <f>13/40*SUM([1]Hoja1!$I$81:$I$84)</f>
        <v>2527.2000000000003</v>
      </c>
    </row>
    <row r="53" spans="1:6" x14ac:dyDescent="0.25">
      <c r="A53" s="14"/>
      <c r="B53" s="14"/>
      <c r="C53" s="4">
        <v>3</v>
      </c>
      <c r="D53" s="3" t="s">
        <v>72</v>
      </c>
      <c r="E53">
        <f>9/40*SUM([1]Hoja1!$I$81:$I$84)</f>
        <v>1749.6000000000001</v>
      </c>
    </row>
    <row r="54" spans="1:6" x14ac:dyDescent="0.25">
      <c r="A54" s="14"/>
      <c r="B54" s="14"/>
      <c r="C54" s="4">
        <v>4</v>
      </c>
      <c r="D54" s="3" t="s">
        <v>58</v>
      </c>
      <c r="E54">
        <f>SUM([1]Hoja1!$I$86:$I$93)</f>
        <v>976.80000000000007</v>
      </c>
    </row>
    <row r="55" spans="1:6" x14ac:dyDescent="0.25">
      <c r="A55" s="14"/>
      <c r="B55" s="14"/>
      <c r="C55" s="4">
        <v>5</v>
      </c>
      <c r="D55" s="3" t="s">
        <v>59</v>
      </c>
      <c r="E55">
        <f>SUM([1]Hoja1!$I$95:$I$103)</f>
        <v>1056</v>
      </c>
    </row>
    <row r="56" spans="1:6" x14ac:dyDescent="0.25">
      <c r="A56" s="14"/>
      <c r="B56" s="14"/>
      <c r="C56" s="4">
        <v>6</v>
      </c>
      <c r="D56" s="3" t="s">
        <v>60</v>
      </c>
      <c r="E56">
        <f>SUM([1]Hoja1!$I$105:$I$106)</f>
        <v>1200</v>
      </c>
    </row>
    <row r="57" spans="1:6" x14ac:dyDescent="0.25">
      <c r="E57" s="7" t="s">
        <v>19</v>
      </c>
      <c r="F57" s="7">
        <f>SUM(E48:E56)</f>
        <v>14881.08185607113</v>
      </c>
    </row>
    <row r="58" spans="1:6" x14ac:dyDescent="0.25">
      <c r="C58" s="6"/>
      <c r="D58" s="6" t="s">
        <v>78</v>
      </c>
      <c r="E58" s="6"/>
      <c r="F58" s="6">
        <f>F57</f>
        <v>14881.08185607113</v>
      </c>
    </row>
  </sheetData>
  <sortState ref="J3:N19">
    <sortCondition ref="J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de la Fuente Aguilar</dc:creator>
  <cp:lastModifiedBy>alvaro saez contreras</cp:lastModifiedBy>
  <dcterms:created xsi:type="dcterms:W3CDTF">2016-12-10T12:39:06Z</dcterms:created>
  <dcterms:modified xsi:type="dcterms:W3CDTF">2017-01-11T21:12:10Z</dcterms:modified>
</cp:coreProperties>
</file>