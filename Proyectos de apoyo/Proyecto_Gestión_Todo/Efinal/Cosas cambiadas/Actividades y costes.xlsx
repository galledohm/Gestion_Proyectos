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__SA\Desktop\"/>
    </mc:Choice>
  </mc:AlternateContent>
  <bookViews>
    <workbookView xWindow="0" yWindow="0" windowWidth="16530" windowHeight="7500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8" i="1" l="1"/>
  <c r="N4" i="1"/>
  <c r="N3" i="1"/>
  <c r="N6" i="1"/>
  <c r="N12" i="1" l="1"/>
  <c r="M17" i="1" s="1"/>
  <c r="E7" i="1"/>
  <c r="G7" i="1" s="1"/>
  <c r="I7" i="1" s="1"/>
  <c r="E8" i="1"/>
  <c r="G8" i="1" s="1"/>
  <c r="I8" i="1" s="1"/>
  <c r="E9" i="1"/>
  <c r="G9" i="1" s="1"/>
  <c r="I9" i="1" s="1"/>
  <c r="E10" i="1"/>
  <c r="G10" i="1" s="1"/>
  <c r="I10" i="1" s="1"/>
  <c r="E11" i="1"/>
  <c r="G11" i="1" s="1"/>
  <c r="I11" i="1" s="1"/>
  <c r="E12" i="1"/>
  <c r="G12" i="1" s="1"/>
  <c r="I12" i="1" s="1"/>
  <c r="E13" i="1"/>
  <c r="G13" i="1" s="1"/>
  <c r="I13" i="1" s="1"/>
  <c r="E14" i="1"/>
  <c r="G14" i="1" s="1"/>
  <c r="I14" i="1" s="1"/>
  <c r="E15" i="1"/>
  <c r="G15" i="1" s="1"/>
  <c r="I15" i="1" s="1"/>
  <c r="E16" i="1"/>
  <c r="G16" i="1" s="1"/>
  <c r="I16" i="1" s="1"/>
  <c r="E17" i="1"/>
  <c r="G17" i="1" s="1"/>
  <c r="I17" i="1" s="1"/>
  <c r="E18" i="1"/>
  <c r="G18" i="1" s="1"/>
  <c r="I18" i="1" s="1"/>
  <c r="E21" i="1"/>
  <c r="G21" i="1" s="1"/>
  <c r="I21" i="1" s="1"/>
  <c r="E22" i="1"/>
  <c r="G22" i="1" s="1"/>
  <c r="I22" i="1" s="1"/>
  <c r="E25" i="1"/>
  <c r="G25" i="1" s="1"/>
  <c r="I25" i="1" s="1"/>
  <c r="E26" i="1"/>
  <c r="G26" i="1" s="1"/>
  <c r="I26" i="1" s="1"/>
  <c r="E28" i="1"/>
  <c r="G28" i="1" s="1"/>
  <c r="I28" i="1" s="1"/>
  <c r="E29" i="1"/>
  <c r="G29" i="1" s="1"/>
  <c r="I29" i="1" s="1"/>
  <c r="E31" i="1"/>
  <c r="G31" i="1" s="1"/>
  <c r="I31" i="1" s="1"/>
  <c r="E32" i="1"/>
  <c r="G32" i="1" s="1"/>
  <c r="I32" i="1" s="1"/>
  <c r="E33" i="1"/>
  <c r="G33" i="1" s="1"/>
  <c r="I33" i="1" s="1"/>
  <c r="E34" i="1"/>
  <c r="G34" i="1" s="1"/>
  <c r="I34" i="1" s="1"/>
  <c r="E36" i="1"/>
  <c r="G36" i="1" s="1"/>
  <c r="I36" i="1" s="1"/>
  <c r="E37" i="1"/>
  <c r="G37" i="1" s="1"/>
  <c r="I37" i="1" s="1"/>
  <c r="E38" i="1"/>
  <c r="G38" i="1" s="1"/>
  <c r="I38" i="1" s="1"/>
  <c r="E40" i="1"/>
  <c r="G40" i="1" s="1"/>
  <c r="I40" i="1" s="1"/>
  <c r="E41" i="1"/>
  <c r="G41" i="1" s="1"/>
  <c r="I41" i="1" s="1"/>
  <c r="E42" i="1"/>
  <c r="G42" i="1" s="1"/>
  <c r="I42" i="1" s="1"/>
  <c r="E43" i="1"/>
  <c r="G43" i="1" s="1"/>
  <c r="I43" i="1" s="1"/>
  <c r="E45" i="1"/>
  <c r="G45" i="1" s="1"/>
  <c r="I45" i="1" s="1"/>
  <c r="E46" i="1"/>
  <c r="G46" i="1" s="1"/>
  <c r="I46" i="1" s="1"/>
  <c r="E48" i="1"/>
  <c r="G48" i="1" s="1"/>
  <c r="I48" i="1" s="1"/>
  <c r="E49" i="1"/>
  <c r="G49" i="1" s="1"/>
  <c r="I49" i="1" s="1"/>
  <c r="E50" i="1"/>
  <c r="G50" i="1" s="1"/>
  <c r="I50" i="1" s="1"/>
  <c r="E51" i="1"/>
  <c r="G51" i="1" s="1"/>
  <c r="I51" i="1" s="1"/>
  <c r="E53" i="1"/>
  <c r="G53" i="1" s="1"/>
  <c r="I53" i="1" s="1"/>
  <c r="E54" i="1"/>
  <c r="G54" i="1" s="1"/>
  <c r="I54" i="1" s="1"/>
  <c r="E56" i="1"/>
  <c r="G56" i="1" s="1"/>
  <c r="I56" i="1" s="1"/>
  <c r="E57" i="1"/>
  <c r="G57" i="1" s="1"/>
  <c r="I57" i="1" s="1"/>
  <c r="E58" i="1"/>
  <c r="G58" i="1" s="1"/>
  <c r="I58" i="1" s="1"/>
  <c r="E59" i="1"/>
  <c r="G59" i="1" s="1"/>
  <c r="I59" i="1" s="1"/>
  <c r="E60" i="1"/>
  <c r="G60" i="1" s="1"/>
  <c r="I60" i="1" s="1"/>
  <c r="E61" i="1"/>
  <c r="G61" i="1" s="1"/>
  <c r="I61" i="1" s="1"/>
  <c r="E62" i="1"/>
  <c r="G62" i="1" s="1"/>
  <c r="I62" i="1" s="1"/>
  <c r="E63" i="1"/>
  <c r="G63" i="1" s="1"/>
  <c r="I63" i="1" s="1"/>
  <c r="E64" i="1"/>
  <c r="G64" i="1" s="1"/>
  <c r="I64" i="1" s="1"/>
  <c r="E65" i="1"/>
  <c r="G65" i="1" s="1"/>
  <c r="I65" i="1" s="1"/>
  <c r="E67" i="1"/>
  <c r="G67" i="1" s="1"/>
  <c r="I67" i="1" s="1"/>
  <c r="E68" i="1"/>
  <c r="G68" i="1" s="1"/>
  <c r="I68" i="1" s="1"/>
  <c r="E70" i="1"/>
  <c r="G70" i="1" s="1"/>
  <c r="I70" i="1" s="1"/>
  <c r="E71" i="1"/>
  <c r="G71" i="1" s="1"/>
  <c r="I71" i="1" s="1"/>
  <c r="E72" i="1"/>
  <c r="G72" i="1" s="1"/>
  <c r="I72" i="1" s="1"/>
  <c r="E73" i="1"/>
  <c r="G73" i="1" s="1"/>
  <c r="I73" i="1" s="1"/>
  <c r="E74" i="1"/>
  <c r="G74" i="1" s="1"/>
  <c r="I74" i="1" s="1"/>
  <c r="E75" i="1"/>
  <c r="G75" i="1" s="1"/>
  <c r="I75" i="1" s="1"/>
  <c r="E77" i="1"/>
  <c r="G77" i="1" s="1"/>
  <c r="I77" i="1" s="1"/>
  <c r="E78" i="1"/>
  <c r="G78" i="1" s="1"/>
  <c r="I78" i="1" s="1"/>
  <c r="E79" i="1"/>
  <c r="G79" i="1" s="1"/>
  <c r="I79" i="1" s="1"/>
  <c r="E80" i="1"/>
  <c r="G80" i="1" s="1"/>
  <c r="I80" i="1" s="1"/>
  <c r="E81" i="1"/>
  <c r="G81" i="1" s="1"/>
  <c r="I81" i="1" s="1"/>
  <c r="E82" i="1"/>
  <c r="G82" i="1" s="1"/>
  <c r="I82" i="1" s="1"/>
  <c r="E83" i="1"/>
  <c r="G83" i="1" s="1"/>
  <c r="I83" i="1" s="1"/>
  <c r="E84" i="1"/>
  <c r="G84" i="1" s="1"/>
  <c r="I84" i="1" s="1"/>
  <c r="E85" i="1"/>
  <c r="G85" i="1" s="1"/>
  <c r="I85" i="1" s="1"/>
  <c r="E86" i="1"/>
  <c r="G86" i="1" s="1"/>
  <c r="I86" i="1" s="1"/>
  <c r="E87" i="1"/>
  <c r="G87" i="1" s="1"/>
  <c r="I87" i="1" s="1"/>
  <c r="E89" i="1"/>
  <c r="G89" i="1" s="1"/>
  <c r="I89" i="1" s="1"/>
  <c r="E90" i="1"/>
  <c r="G90" i="1" s="1"/>
  <c r="I90" i="1" s="1"/>
  <c r="E91" i="1"/>
  <c r="G91" i="1" s="1"/>
  <c r="I91" i="1" s="1"/>
  <c r="E92" i="1"/>
  <c r="G92" i="1" s="1"/>
  <c r="I92" i="1" s="1"/>
  <c r="E95" i="1"/>
  <c r="G95" i="1" s="1"/>
  <c r="I95" i="1" s="1"/>
  <c r="E96" i="1"/>
  <c r="G96" i="1" s="1"/>
  <c r="I96" i="1" s="1"/>
  <c r="E97" i="1"/>
  <c r="G97" i="1" s="1"/>
  <c r="I97" i="1" s="1"/>
  <c r="E98" i="1"/>
  <c r="G98" i="1" s="1"/>
  <c r="I98" i="1" s="1"/>
  <c r="E99" i="1"/>
  <c r="G99" i="1" s="1"/>
  <c r="I99" i="1" s="1"/>
  <c r="E100" i="1"/>
  <c r="G100" i="1" s="1"/>
  <c r="I100" i="1" s="1"/>
  <c r="E101" i="1"/>
  <c r="G101" i="1" s="1"/>
  <c r="I101" i="1" s="1"/>
  <c r="E102" i="1"/>
  <c r="G102" i="1" s="1"/>
  <c r="I102" i="1" s="1"/>
  <c r="E104" i="1"/>
  <c r="G104" i="1" s="1"/>
  <c r="I104" i="1" s="1"/>
  <c r="E105" i="1"/>
  <c r="G105" i="1" s="1"/>
  <c r="I105" i="1" s="1"/>
  <c r="E106" i="1"/>
  <c r="G106" i="1" s="1"/>
  <c r="I106" i="1" s="1"/>
  <c r="E107" i="1"/>
  <c r="G107" i="1" s="1"/>
  <c r="I107" i="1" s="1"/>
  <c r="E108" i="1"/>
  <c r="G108" i="1" s="1"/>
  <c r="I108" i="1" s="1"/>
  <c r="E109" i="1"/>
  <c r="G109" i="1" s="1"/>
  <c r="I109" i="1" s="1"/>
  <c r="E110" i="1"/>
  <c r="G110" i="1" s="1"/>
  <c r="I110" i="1" s="1"/>
  <c r="E111" i="1"/>
  <c r="G111" i="1" s="1"/>
  <c r="I111" i="1" s="1"/>
  <c r="E112" i="1"/>
  <c r="G112" i="1" s="1"/>
  <c r="I112" i="1" s="1"/>
  <c r="E114" i="1"/>
  <c r="G114" i="1" s="1"/>
  <c r="I114" i="1" s="1"/>
  <c r="E115" i="1"/>
  <c r="G115" i="1" s="1"/>
  <c r="I115" i="1" s="1"/>
  <c r="E4" i="1"/>
  <c r="G4" i="1" s="1"/>
  <c r="I4" i="1" s="1"/>
  <c r="I117" i="1" l="1"/>
  <c r="M19" i="1" s="1"/>
  <c r="G117" i="1"/>
  <c r="M22" i="1" l="1"/>
  <c r="M24" i="1" s="1"/>
  <c r="M25" i="1" s="1"/>
  <c r="M26" i="1" s="1"/>
</calcChain>
</file>

<file path=xl/sharedStrings.xml><?xml version="1.0" encoding="utf-8"?>
<sst xmlns="http://schemas.openxmlformats.org/spreadsheetml/2006/main" count="223" uniqueCount="141">
  <si>
    <t>ID</t>
  </si>
  <si>
    <t>Tarea</t>
  </si>
  <si>
    <t>Inicio del proyecto</t>
  </si>
  <si>
    <t>2.1</t>
  </si>
  <si>
    <t>Acta de constitución del proyecto</t>
  </si>
  <si>
    <t>2.2</t>
  </si>
  <si>
    <t>Plan para la dirección del proyecto</t>
  </si>
  <si>
    <t>1.1</t>
  </si>
  <si>
    <t>Plan de gestión del alcance</t>
  </si>
  <si>
    <t>2.3</t>
  </si>
  <si>
    <t>2.4</t>
  </si>
  <si>
    <t>2.5</t>
  </si>
  <si>
    <t>Plan de gestión de los costes</t>
  </si>
  <si>
    <t>2.6</t>
  </si>
  <si>
    <t>Plan de gestión de recursos humanos</t>
  </si>
  <si>
    <t>2.7</t>
  </si>
  <si>
    <t>Plan de la gestión de la comunicación</t>
  </si>
  <si>
    <t>Plan de la gestión de los riesgos</t>
  </si>
  <si>
    <t>6.1</t>
  </si>
  <si>
    <t>Proceso de cierre</t>
  </si>
  <si>
    <t>Generación de informe técnico económico</t>
  </si>
  <si>
    <t>2.5.1</t>
  </si>
  <si>
    <t>2.5.2</t>
  </si>
  <si>
    <t>2.6.1</t>
  </si>
  <si>
    <t>Identificación de los riesgos</t>
  </si>
  <si>
    <t>Planificación de la respuesta ante los riesgos</t>
  </si>
  <si>
    <t>Selección de proveedores</t>
  </si>
  <si>
    <t>Plan de gestión de la calidad</t>
  </si>
  <si>
    <t>2.7.1</t>
  </si>
  <si>
    <t>Definición del alcance</t>
  </si>
  <si>
    <t>4.1</t>
  </si>
  <si>
    <t>4.2</t>
  </si>
  <si>
    <t>4.3</t>
  </si>
  <si>
    <t xml:space="preserve"> Recopilación de requisitos</t>
  </si>
  <si>
    <t>2.1.1</t>
  </si>
  <si>
    <t>2.1.2</t>
  </si>
  <si>
    <t>2.4.1</t>
  </si>
  <si>
    <t xml:space="preserve"> Definición protocolos de calidad</t>
  </si>
  <si>
    <t xml:space="preserve">2.7.2 </t>
  </si>
  <si>
    <t>2.7.3</t>
  </si>
  <si>
    <t>2.7.4</t>
  </si>
  <si>
    <t>Plan gestión de adquisiciones</t>
  </si>
  <si>
    <t>Definición de las actividades</t>
  </si>
  <si>
    <t>Estructura del desglose del trabajo</t>
  </si>
  <si>
    <t>Administrar contratos proveedores</t>
  </si>
  <si>
    <t>Plan de gestión temporal</t>
  </si>
  <si>
    <t xml:space="preserve"> Plan elección empresa subcontratada diseño de red LTE  </t>
  </si>
  <si>
    <t>2.8</t>
  </si>
  <si>
    <t>2.8.1</t>
  </si>
  <si>
    <t>2.8.2</t>
  </si>
  <si>
    <t>2.8.3</t>
  </si>
  <si>
    <t xml:space="preserve"> Elaboración del pliego de contratación </t>
  </si>
  <si>
    <t>Análisis de propuestas</t>
  </si>
  <si>
    <t xml:space="preserve"> Selección empresa subcontratada </t>
  </si>
  <si>
    <t xml:space="preserve"> Responsabilidades</t>
  </si>
  <si>
    <t>2.8.4</t>
  </si>
  <si>
    <t>Administrar contrato empresa subcontratada</t>
  </si>
  <si>
    <t>Ejecución de pruebas</t>
  </si>
  <si>
    <t>5.1</t>
  </si>
  <si>
    <t>5.2</t>
  </si>
  <si>
    <t>Ajustes de equipos</t>
  </si>
  <si>
    <t>Pruebas de cobertura</t>
  </si>
  <si>
    <t>3.1</t>
  </si>
  <si>
    <t>Seguimiento del estado de desarrollo diseño red LTE</t>
  </si>
  <si>
    <t>2.1.3</t>
  </si>
  <si>
    <t>Elaboración del plan de comunicaciones con los interesados</t>
  </si>
  <si>
    <t xml:space="preserve"> Administración Recursos humanos</t>
  </si>
  <si>
    <t>Project Manager</t>
  </si>
  <si>
    <t>Comercial</t>
  </si>
  <si>
    <t>Analista de Riesgos</t>
  </si>
  <si>
    <t>Diseño red LTE  empresa subcontratada</t>
  </si>
  <si>
    <t>Análisis cualitativo de los riesgos</t>
  </si>
  <si>
    <t>Análisis cuantitativo de los riesgos</t>
  </si>
  <si>
    <t>Elaboración del pliego de contratación</t>
  </si>
  <si>
    <t>2.7.5</t>
  </si>
  <si>
    <t>Control de Riesgos</t>
  </si>
  <si>
    <t xml:space="preserve">Analista de Riesgos </t>
  </si>
  <si>
    <t>2.3.1</t>
  </si>
  <si>
    <t>Control de Costes</t>
  </si>
  <si>
    <t>2.4.2</t>
  </si>
  <si>
    <t>Control de calidad</t>
  </si>
  <si>
    <t>2.6.2</t>
  </si>
  <si>
    <t>Control de las comunicaciones</t>
  </si>
  <si>
    <t>Ingeniero de Telecomunicaciones</t>
  </si>
  <si>
    <t>Ingeniero de Telecomunicaciones Jr.</t>
  </si>
  <si>
    <t>Ingeniero de Telecomunicaciones Jr</t>
  </si>
  <si>
    <t>RRHH</t>
  </si>
  <si>
    <t xml:space="preserve">Comercial </t>
  </si>
  <si>
    <t>Comercial Jr.</t>
  </si>
  <si>
    <t>Duración</t>
  </si>
  <si>
    <t>Horas laborables</t>
  </si>
  <si>
    <t>Porcentaje Asignado</t>
  </si>
  <si>
    <t>Encargado de Calidad</t>
  </si>
  <si>
    <t>Analista de Calidad Jr.</t>
  </si>
  <si>
    <t>Project manager</t>
  </si>
  <si>
    <t>Analista RRHH y comunicaciones Jr.</t>
  </si>
  <si>
    <t>Encargado Gestión RRHH y Dpto. comunicaciones</t>
  </si>
  <si>
    <t>Analista de Riesgos Jr.</t>
  </si>
  <si>
    <t>8horas/dia</t>
  </si>
  <si>
    <t>dias</t>
  </si>
  <si>
    <t>%</t>
  </si>
  <si>
    <t>Empresa subcontratada</t>
  </si>
  <si>
    <t>Horas dedicadas</t>
  </si>
  <si>
    <t>€/hora</t>
  </si>
  <si>
    <t>TOTAL</t>
  </si>
  <si>
    <t>TOTAL €</t>
  </si>
  <si>
    <t>Recurso</t>
  </si>
  <si>
    <t>Cantidad</t>
  </si>
  <si>
    <t>Importe</t>
  </si>
  <si>
    <t>PC</t>
  </si>
  <si>
    <t>Teléfonos</t>
  </si>
  <si>
    <t>Software</t>
  </si>
  <si>
    <t>Material de oficina</t>
  </si>
  <si>
    <t>Desgaste instalaciones</t>
  </si>
  <si>
    <t>Recursos energéticos</t>
  </si>
  <si>
    <t>Office (539€ 1PC)</t>
  </si>
  <si>
    <t>GIS-Geographic Information System</t>
  </si>
  <si>
    <t>Licencia 1  año 5000€</t>
  </si>
  <si>
    <t>TOTALES</t>
  </si>
  <si>
    <t>Recursos materiales</t>
  </si>
  <si>
    <t>Recursos Humanos</t>
  </si>
  <si>
    <t>Empresa Subcontratada</t>
  </si>
  <si>
    <t>Reservas de gestión</t>
  </si>
  <si>
    <t>€</t>
  </si>
  <si>
    <t>Reservas Contingencias actividades</t>
  </si>
  <si>
    <t>Estimaciones Costes Paquetes Trabajo</t>
  </si>
  <si>
    <t>Reservas Contingencias</t>
  </si>
  <si>
    <t>Línea Base de Costes</t>
  </si>
  <si>
    <t>Presupuesto del proyecto</t>
  </si>
  <si>
    <t>2.1.4</t>
  </si>
  <si>
    <t>Reunión de acceptación del entregable</t>
  </si>
  <si>
    <t>2.2.1</t>
  </si>
  <si>
    <t>2.3.2</t>
  </si>
  <si>
    <t>2.4.3</t>
  </si>
  <si>
    <t>2.5.3</t>
  </si>
  <si>
    <t>2.6.3</t>
  </si>
  <si>
    <t>2.7.6</t>
  </si>
  <si>
    <t>Organización concurso de licitación</t>
  </si>
  <si>
    <t>2.8.5</t>
  </si>
  <si>
    <t>3.2</t>
  </si>
  <si>
    <t>Reunión de aceptación del entregable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</si>
</sst>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CA6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Font="1"/>
    <xf numFmtId="0" fontId="1" fillId="0" borderId="0" xfId="0" applyFont="1" applyFill="1"/>
    <xf numFmtId="0" fontId="0" fillId="0" borderId="0" xfId="0" applyFill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16" fontId="0" fillId="0" borderId="0" xfId="0" applyNumberFormat="1" applyFont="1" applyFill="1"/>
    <xf numFmtId="0" fontId="0" fillId="0" borderId="0" xfId="0" applyFont="1" applyFill="1"/>
    <xf numFmtId="0" fontId="2" fillId="0" borderId="0" xfId="0" applyFont="1" applyFill="1"/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3" fillId="0" borderId="2" xfId="0" applyFont="1" applyFill="1" applyBorder="1" applyAlignment="1">
      <alignment horizontal="left"/>
    </xf>
    <xf numFmtId="0" fontId="3" fillId="0" borderId="0" xfId="0" applyFont="1" applyFill="1"/>
    <xf numFmtId="0" fontId="1" fillId="2" borderId="0" xfId="0" applyFont="1" applyFill="1" applyAlignment="1">
      <alignment horizontal="center"/>
    </xf>
    <xf numFmtId="16" fontId="1" fillId="2" borderId="0" xfId="0" applyNumberFormat="1" applyFont="1" applyFill="1" applyAlignment="1">
      <alignment horizontal="center"/>
    </xf>
    <xf numFmtId="16" fontId="0" fillId="0" borderId="0" xfId="0" applyNumberFormat="1" applyFont="1" applyFill="1" applyAlignment="1">
      <alignment horizontal="center"/>
    </xf>
    <xf numFmtId="16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4" fillId="0" borderId="1" xfId="0" applyFont="1" applyFill="1" applyBorder="1"/>
    <xf numFmtId="0" fontId="5" fillId="0" borderId="0" xfId="0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4" fillId="2" borderId="0" xfId="0" applyFont="1" applyFill="1" applyAlignment="1">
      <alignment horizontal="center"/>
    </xf>
    <xf numFmtId="9" fontId="4" fillId="0" borderId="0" xfId="0" applyNumberFormat="1" applyFont="1" applyFill="1" applyAlignment="1">
      <alignment horizontal="right"/>
    </xf>
    <xf numFmtId="0" fontId="1" fillId="3" borderId="1" xfId="0" applyFont="1" applyFill="1" applyBorder="1"/>
    <xf numFmtId="0" fontId="4" fillId="3" borderId="1" xfId="0" applyFont="1" applyFill="1" applyBorder="1"/>
    <xf numFmtId="0" fontId="0" fillId="3" borderId="1" xfId="0" applyFont="1" applyFill="1" applyBorder="1"/>
    <xf numFmtId="0" fontId="0" fillId="0" borderId="0" xfId="0" applyFont="1" applyFill="1" applyAlignment="1">
      <alignment horizontal="right"/>
    </xf>
    <xf numFmtId="0" fontId="0" fillId="0" borderId="0" xfId="0" applyNumberFormat="1" applyFont="1" applyFill="1"/>
    <xf numFmtId="0" fontId="0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0" fontId="1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6" fontId="4" fillId="0" borderId="0" xfId="0" applyNumberFormat="1" applyFont="1" applyFill="1" applyAlignment="1">
      <alignment horizontal="center"/>
    </xf>
    <xf numFmtId="0" fontId="4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0" fillId="2" borderId="1" xfId="0" applyFont="1" applyFill="1" applyBorder="1" applyAlignment="1">
      <alignment horizontal="left"/>
    </xf>
    <xf numFmtId="0" fontId="0" fillId="2" borderId="0" xfId="0" applyFill="1"/>
    <xf numFmtId="0" fontId="0" fillId="0" borderId="0" xfId="0" applyFill="1" applyAlignment="1">
      <alignment horizontal="right"/>
    </xf>
    <xf numFmtId="0" fontId="0" fillId="0" borderId="0" xfId="0" applyNumberFormat="1" applyFill="1"/>
    <xf numFmtId="2" fontId="0" fillId="0" borderId="0" xfId="0" applyNumberFormat="1" applyFont="1" applyFill="1"/>
    <xf numFmtId="2" fontId="0" fillId="0" borderId="0" xfId="0" applyNumberFormat="1" applyFill="1"/>
    <xf numFmtId="0" fontId="6" fillId="2" borderId="0" xfId="0" applyFont="1" applyFill="1" applyAlignment="1">
      <alignment horizontal="right"/>
    </xf>
    <xf numFmtId="0" fontId="6" fillId="2" borderId="0" xfId="0" applyFont="1" applyFill="1"/>
    <xf numFmtId="0" fontId="6" fillId="2" borderId="0" xfId="0" applyNumberFormat="1" applyFont="1" applyFill="1"/>
    <xf numFmtId="0" fontId="1" fillId="2" borderId="0" xfId="0" applyFont="1" applyFill="1"/>
    <xf numFmtId="2" fontId="1" fillId="2" borderId="0" xfId="0" applyNumberFormat="1" applyFont="1" applyFill="1"/>
    <xf numFmtId="2" fontId="4" fillId="0" borderId="0" xfId="0" applyNumberFormat="1" applyFont="1" applyFill="1"/>
    <xf numFmtId="0" fontId="5" fillId="2" borderId="0" xfId="0" applyFont="1" applyFill="1"/>
    <xf numFmtId="2" fontId="5" fillId="2" borderId="0" xfId="0" applyNumberFormat="1" applyFont="1" applyFill="1"/>
    <xf numFmtId="0" fontId="5" fillId="2" borderId="0" xfId="0" applyFont="1" applyFill="1" applyAlignment="1">
      <alignment horizontal="right"/>
    </xf>
    <xf numFmtId="0" fontId="5" fillId="3" borderId="0" xfId="0" applyFont="1" applyFill="1"/>
    <xf numFmtId="2" fontId="1" fillId="3" borderId="0" xfId="0" applyNumberFormat="1" applyFont="1" applyFill="1"/>
    <xf numFmtId="0" fontId="5" fillId="4" borderId="0" xfId="0" applyFont="1" applyFill="1"/>
    <xf numFmtId="2" fontId="1" fillId="4" borderId="0" xfId="0" applyNumberFormat="1" applyFont="1" applyFill="1"/>
    <xf numFmtId="0" fontId="1" fillId="5" borderId="0" xfId="0" applyFont="1" applyFill="1"/>
    <xf numFmtId="2" fontId="1" fillId="5" borderId="0" xfId="0" applyNumberFormat="1" applyFont="1" applyFill="1"/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CA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"/>
  <sheetViews>
    <sheetView tabSelected="1" topLeftCell="A89" zoomScale="83" zoomScaleNormal="83" workbookViewId="0">
      <selection activeCell="B19" sqref="B19"/>
    </sheetView>
  </sheetViews>
  <sheetFormatPr baseColWidth="10" defaultColWidth="11.5703125" defaultRowHeight="21" x14ac:dyDescent="0.35"/>
  <cols>
    <col min="1" max="1" width="7.85546875" style="12" customWidth="1"/>
    <col min="2" max="2" width="46.28515625" style="3" customWidth="1"/>
    <col min="3" max="3" width="42" style="18" customWidth="1"/>
    <col min="4" max="4" width="15.5703125" style="3" customWidth="1"/>
    <col min="5" max="5" width="21.28515625" style="3" customWidth="1"/>
    <col min="6" max="6" width="25.7109375" style="21" customWidth="1"/>
    <col min="7" max="7" width="16.28515625" style="3" customWidth="1"/>
    <col min="8" max="8" width="8.140625" style="3" customWidth="1"/>
    <col min="9" max="9" width="16.140625" style="3" customWidth="1"/>
    <col min="10" max="11" width="11.5703125" style="3"/>
    <col min="12" max="12" width="34.7109375" style="3" customWidth="1"/>
    <col min="13" max="16384" width="11.5703125" style="3"/>
  </cols>
  <sheetData>
    <row r="1" spans="1:14" ht="15" x14ac:dyDescent="0.25">
      <c r="A1" s="31" t="s">
        <v>0</v>
      </c>
      <c r="B1" s="31" t="s">
        <v>1</v>
      </c>
      <c r="C1" s="13" t="s">
        <v>86</v>
      </c>
      <c r="D1" s="13" t="s">
        <v>89</v>
      </c>
      <c r="E1" s="13" t="s">
        <v>90</v>
      </c>
      <c r="F1" s="32" t="s">
        <v>91</v>
      </c>
      <c r="G1" s="13" t="s">
        <v>102</v>
      </c>
      <c r="H1" s="33" t="s">
        <v>103</v>
      </c>
      <c r="I1" s="13" t="s">
        <v>105</v>
      </c>
      <c r="L1" s="13" t="s">
        <v>106</v>
      </c>
      <c r="M1" s="13" t="s">
        <v>107</v>
      </c>
      <c r="N1" s="13" t="s">
        <v>108</v>
      </c>
    </row>
    <row r="2" spans="1:14" ht="15" x14ac:dyDescent="0.25">
      <c r="A2" s="31"/>
      <c r="B2" s="31" t="s">
        <v>42</v>
      </c>
      <c r="C2" s="14"/>
      <c r="D2" s="13" t="s">
        <v>99</v>
      </c>
      <c r="E2" s="14" t="s">
        <v>98</v>
      </c>
      <c r="F2" s="23" t="s">
        <v>100</v>
      </c>
      <c r="G2" s="34"/>
      <c r="H2" s="35"/>
      <c r="I2" s="35"/>
      <c r="L2" s="44"/>
      <c r="M2" s="44"/>
      <c r="N2" s="44"/>
    </row>
    <row r="3" spans="1:14" ht="15" x14ac:dyDescent="0.25">
      <c r="A3" s="36">
        <v>1</v>
      </c>
      <c r="B3" s="25" t="s">
        <v>2</v>
      </c>
      <c r="C3" s="15"/>
      <c r="D3" s="7"/>
      <c r="E3" s="6"/>
      <c r="G3" s="7"/>
      <c r="H3" s="7"/>
      <c r="I3" s="7"/>
      <c r="L3" s="3" t="s">
        <v>109</v>
      </c>
      <c r="M3" s="3">
        <v>11</v>
      </c>
      <c r="N3" s="3">
        <f>900/3/12*4*M3</f>
        <v>1100</v>
      </c>
    </row>
    <row r="4" spans="1:14" ht="15" x14ac:dyDescent="0.25">
      <c r="A4" s="36" t="s">
        <v>7</v>
      </c>
      <c r="B4" s="25" t="s">
        <v>4</v>
      </c>
      <c r="C4" s="15" t="s">
        <v>67</v>
      </c>
      <c r="D4" s="7">
        <v>2</v>
      </c>
      <c r="E4" s="1">
        <f>8*D4</f>
        <v>16</v>
      </c>
      <c r="F4" s="24">
        <v>1</v>
      </c>
      <c r="G4" s="7">
        <f>E4*F4</f>
        <v>16</v>
      </c>
      <c r="H4" s="22">
        <v>25</v>
      </c>
      <c r="I4" s="29">
        <f>G4*H4</f>
        <v>400</v>
      </c>
      <c r="L4" s="3" t="s">
        <v>110</v>
      </c>
      <c r="M4" s="3">
        <v>11</v>
      </c>
      <c r="N4" s="48">
        <f>600/3/12*4*M4</f>
        <v>733.33333333333337</v>
      </c>
    </row>
    <row r="5" spans="1:14" ht="15" x14ac:dyDescent="0.25">
      <c r="A5" s="9"/>
      <c r="B5" s="10"/>
      <c r="C5" s="15"/>
      <c r="D5" s="7"/>
      <c r="E5" s="1"/>
      <c r="F5" s="24"/>
      <c r="G5" s="7"/>
      <c r="H5" s="22"/>
      <c r="I5" s="7"/>
      <c r="L5" s="3" t="s">
        <v>111</v>
      </c>
    </row>
    <row r="6" spans="1:14" ht="15" x14ac:dyDescent="0.25">
      <c r="A6" s="36">
        <v>2</v>
      </c>
      <c r="B6" s="25" t="s">
        <v>6</v>
      </c>
      <c r="C6" s="16"/>
      <c r="D6" s="7"/>
      <c r="E6" s="1"/>
      <c r="F6" s="24"/>
      <c r="G6" s="7"/>
      <c r="H6" s="22"/>
      <c r="I6" s="7"/>
      <c r="L6" s="45" t="s">
        <v>115</v>
      </c>
      <c r="M6" s="3">
        <v>11</v>
      </c>
      <c r="N6" s="48">
        <f>539/12*4*M6</f>
        <v>1976.3333333333333</v>
      </c>
    </row>
    <row r="7" spans="1:14" s="2" customFormat="1" ht="15" x14ac:dyDescent="0.25">
      <c r="A7" s="25" t="s">
        <v>3</v>
      </c>
      <c r="B7" s="25" t="s">
        <v>8</v>
      </c>
      <c r="C7" s="15" t="s">
        <v>67</v>
      </c>
      <c r="D7" s="22">
        <v>7</v>
      </c>
      <c r="E7" s="1">
        <f t="shared" ref="E7:E75" si="0">8*D7</f>
        <v>56</v>
      </c>
      <c r="F7" s="24">
        <v>0.5</v>
      </c>
      <c r="G7" s="7">
        <f t="shared" ref="G7:G75" si="1">E7*F7</f>
        <v>28</v>
      </c>
      <c r="H7" s="22">
        <v>25</v>
      </c>
      <c r="I7" s="7">
        <f t="shared" ref="I7:I75" si="2">H7*G7</f>
        <v>700</v>
      </c>
      <c r="L7" s="28" t="s">
        <v>116</v>
      </c>
      <c r="M7" s="7"/>
      <c r="N7" s="7"/>
    </row>
    <row r="8" spans="1:14" s="2" customFormat="1" ht="15" x14ac:dyDescent="0.25">
      <c r="A8" s="4"/>
      <c r="B8" s="4"/>
      <c r="C8" s="15" t="s">
        <v>83</v>
      </c>
      <c r="D8" s="22">
        <v>7</v>
      </c>
      <c r="E8" s="1">
        <f t="shared" si="0"/>
        <v>56</v>
      </c>
      <c r="F8" s="24">
        <v>0.2</v>
      </c>
      <c r="G8" s="7">
        <f t="shared" si="1"/>
        <v>11.200000000000001</v>
      </c>
      <c r="H8" s="22">
        <v>21</v>
      </c>
      <c r="I8" s="7">
        <f t="shared" si="2"/>
        <v>235.20000000000002</v>
      </c>
      <c r="L8" s="28" t="s">
        <v>117</v>
      </c>
      <c r="M8" s="7">
        <v>1</v>
      </c>
      <c r="N8" s="47">
        <f>5000/12*4</f>
        <v>1666.6666666666667</v>
      </c>
    </row>
    <row r="9" spans="1:14" s="2" customFormat="1" ht="15" x14ac:dyDescent="0.25">
      <c r="A9" s="4"/>
      <c r="B9" s="4"/>
      <c r="C9" s="15" t="s">
        <v>85</v>
      </c>
      <c r="D9" s="22">
        <v>7</v>
      </c>
      <c r="E9" s="1">
        <f t="shared" si="0"/>
        <v>56</v>
      </c>
      <c r="F9" s="24">
        <v>0.3</v>
      </c>
      <c r="G9" s="7">
        <f t="shared" si="1"/>
        <v>16.8</v>
      </c>
      <c r="H9" s="22">
        <v>12</v>
      </c>
      <c r="I9" s="7">
        <f t="shared" si="2"/>
        <v>201.60000000000002</v>
      </c>
      <c r="L9" s="3" t="s">
        <v>112</v>
      </c>
      <c r="M9" s="3"/>
      <c r="N9" s="46">
        <v>150</v>
      </c>
    </row>
    <row r="10" spans="1:14" ht="15" x14ac:dyDescent="0.25">
      <c r="A10" s="37" t="s">
        <v>34</v>
      </c>
      <c r="B10" s="27" t="s">
        <v>29</v>
      </c>
      <c r="C10" s="15" t="s">
        <v>67</v>
      </c>
      <c r="D10" s="22">
        <v>2</v>
      </c>
      <c r="E10" s="1">
        <f t="shared" si="0"/>
        <v>16</v>
      </c>
      <c r="F10" s="24">
        <v>0.4</v>
      </c>
      <c r="G10" s="7">
        <f t="shared" si="1"/>
        <v>6.4</v>
      </c>
      <c r="H10" s="22">
        <v>25</v>
      </c>
      <c r="I10" s="7">
        <f t="shared" si="2"/>
        <v>160</v>
      </c>
      <c r="L10" s="3" t="s">
        <v>113</v>
      </c>
      <c r="N10" s="46">
        <v>1500</v>
      </c>
    </row>
    <row r="11" spans="1:14" ht="15" x14ac:dyDescent="0.25">
      <c r="A11" s="4"/>
      <c r="B11" s="4"/>
      <c r="C11" s="15" t="s">
        <v>83</v>
      </c>
      <c r="D11" s="22">
        <v>2</v>
      </c>
      <c r="E11" s="1">
        <f t="shared" si="0"/>
        <v>16</v>
      </c>
      <c r="F11" s="24">
        <v>0.3</v>
      </c>
      <c r="G11" s="7">
        <f t="shared" si="1"/>
        <v>4.8</v>
      </c>
      <c r="H11" s="22">
        <v>21</v>
      </c>
      <c r="I11" s="7">
        <f t="shared" si="2"/>
        <v>100.8</v>
      </c>
      <c r="L11" s="3" t="s">
        <v>114</v>
      </c>
      <c r="N11" s="46">
        <v>1030</v>
      </c>
    </row>
    <row r="12" spans="1:14" ht="15" x14ac:dyDescent="0.25">
      <c r="A12" s="4"/>
      <c r="B12" s="4"/>
      <c r="C12" s="15" t="s">
        <v>85</v>
      </c>
      <c r="D12" s="22">
        <v>2</v>
      </c>
      <c r="E12" s="1">
        <f t="shared" si="0"/>
        <v>16</v>
      </c>
      <c r="F12" s="24">
        <v>0.3</v>
      </c>
      <c r="G12" s="7">
        <f t="shared" si="1"/>
        <v>4.8</v>
      </c>
      <c r="H12" s="22">
        <v>12</v>
      </c>
      <c r="I12" s="7">
        <f t="shared" si="2"/>
        <v>57.599999999999994</v>
      </c>
      <c r="M12" s="52" t="s">
        <v>104</v>
      </c>
      <c r="N12" s="53">
        <f>SUM(N3:N11)</f>
        <v>8156.3333333333339</v>
      </c>
    </row>
    <row r="13" spans="1:14" s="2" customFormat="1" ht="15" x14ac:dyDescent="0.25">
      <c r="A13" s="37" t="s">
        <v>35</v>
      </c>
      <c r="B13" s="27" t="s">
        <v>33</v>
      </c>
      <c r="C13" s="15" t="s">
        <v>67</v>
      </c>
      <c r="D13" s="22">
        <v>2</v>
      </c>
      <c r="E13" s="1">
        <f t="shared" si="0"/>
        <v>16</v>
      </c>
      <c r="F13" s="24">
        <v>0.1</v>
      </c>
      <c r="G13" s="7">
        <f t="shared" si="1"/>
        <v>1.6</v>
      </c>
      <c r="H13" s="22">
        <v>25</v>
      </c>
      <c r="I13" s="7">
        <f t="shared" si="2"/>
        <v>40</v>
      </c>
    </row>
    <row r="14" spans="1:14" s="2" customFormat="1" ht="15" x14ac:dyDescent="0.25">
      <c r="A14" s="4"/>
      <c r="B14" s="4"/>
      <c r="C14" s="15" t="s">
        <v>83</v>
      </c>
      <c r="D14" s="22">
        <v>2</v>
      </c>
      <c r="E14" s="1">
        <f t="shared" si="0"/>
        <v>16</v>
      </c>
      <c r="F14" s="24">
        <v>0.5</v>
      </c>
      <c r="G14" s="7">
        <f t="shared" si="1"/>
        <v>8</v>
      </c>
      <c r="H14" s="22">
        <v>21</v>
      </c>
      <c r="I14" s="7">
        <f t="shared" si="2"/>
        <v>168</v>
      </c>
    </row>
    <row r="15" spans="1:14" s="2" customFormat="1" ht="15" x14ac:dyDescent="0.25">
      <c r="A15" s="4"/>
      <c r="B15" s="4"/>
      <c r="C15" s="15" t="s">
        <v>85</v>
      </c>
      <c r="D15" s="22">
        <v>2</v>
      </c>
      <c r="E15" s="1">
        <f t="shared" si="0"/>
        <v>16</v>
      </c>
      <c r="F15" s="24">
        <v>0.4</v>
      </c>
      <c r="G15" s="7">
        <f t="shared" si="1"/>
        <v>6.4</v>
      </c>
      <c r="H15" s="22">
        <v>12</v>
      </c>
      <c r="I15" s="7">
        <f t="shared" si="2"/>
        <v>76.800000000000011</v>
      </c>
    </row>
    <row r="16" spans="1:14" s="8" customFormat="1" ht="15" x14ac:dyDescent="0.25">
      <c r="A16" s="37" t="s">
        <v>64</v>
      </c>
      <c r="B16" s="27" t="s">
        <v>43</v>
      </c>
      <c r="C16" s="15" t="s">
        <v>67</v>
      </c>
      <c r="D16" s="22">
        <v>3</v>
      </c>
      <c r="E16" s="1">
        <f t="shared" si="0"/>
        <v>24</v>
      </c>
      <c r="F16" s="24">
        <v>0.4</v>
      </c>
      <c r="G16" s="7">
        <f t="shared" si="1"/>
        <v>9.6000000000000014</v>
      </c>
      <c r="H16" s="22">
        <v>25</v>
      </c>
      <c r="I16" s="7">
        <f t="shared" si="2"/>
        <v>240.00000000000003</v>
      </c>
      <c r="L16" s="55" t="s">
        <v>118</v>
      </c>
      <c r="M16" s="57" t="s">
        <v>123</v>
      </c>
    </row>
    <row r="17" spans="1:13" s="2" customFormat="1" ht="15" x14ac:dyDescent="0.25">
      <c r="A17" s="4"/>
      <c r="B17" s="4"/>
      <c r="C17" s="15" t="s">
        <v>83</v>
      </c>
      <c r="D17" s="22">
        <v>3</v>
      </c>
      <c r="E17" s="1">
        <f t="shared" si="0"/>
        <v>24</v>
      </c>
      <c r="F17" s="24">
        <v>0.4</v>
      </c>
      <c r="G17" s="7">
        <f t="shared" si="1"/>
        <v>9.6000000000000014</v>
      </c>
      <c r="H17" s="22">
        <v>21</v>
      </c>
      <c r="I17" s="7">
        <f t="shared" si="2"/>
        <v>201.60000000000002</v>
      </c>
      <c r="L17" s="22" t="s">
        <v>119</v>
      </c>
      <c r="M17" s="54">
        <f>N12</f>
        <v>8156.3333333333339</v>
      </c>
    </row>
    <row r="18" spans="1:13" ht="15" x14ac:dyDescent="0.25">
      <c r="A18" s="4"/>
      <c r="B18" s="4"/>
      <c r="C18" s="15" t="s">
        <v>85</v>
      </c>
      <c r="D18" s="22">
        <v>3</v>
      </c>
      <c r="E18" s="1">
        <f t="shared" si="0"/>
        <v>24</v>
      </c>
      <c r="F18" s="24">
        <v>0.2</v>
      </c>
      <c r="G18" s="7">
        <f t="shared" si="1"/>
        <v>4.8000000000000007</v>
      </c>
      <c r="H18" s="22">
        <v>12</v>
      </c>
      <c r="I18" s="7">
        <f t="shared" si="2"/>
        <v>57.600000000000009</v>
      </c>
      <c r="L18" s="22" t="s">
        <v>121</v>
      </c>
      <c r="M18" s="54">
        <v>50000</v>
      </c>
    </row>
    <row r="19" spans="1:13" ht="15" x14ac:dyDescent="0.25">
      <c r="A19" s="27" t="s">
        <v>129</v>
      </c>
      <c r="B19" s="26" t="s">
        <v>140</v>
      </c>
      <c r="C19" s="15"/>
      <c r="D19" s="7"/>
      <c r="E19" s="1"/>
      <c r="F19" s="24"/>
      <c r="G19" s="7"/>
      <c r="H19" s="22"/>
      <c r="I19" s="7"/>
      <c r="L19" s="22" t="s">
        <v>120</v>
      </c>
      <c r="M19" s="22">
        <f>I117</f>
        <v>63060.799999999974</v>
      </c>
    </row>
    <row r="20" spans="1:13" ht="15" x14ac:dyDescent="0.25">
      <c r="A20" s="4"/>
      <c r="B20" s="4"/>
      <c r="C20" s="15"/>
      <c r="D20" s="7"/>
      <c r="E20" s="1"/>
      <c r="F20" s="24"/>
      <c r="G20" s="7"/>
      <c r="H20" s="22"/>
      <c r="I20" s="7"/>
      <c r="L20" s="22"/>
      <c r="M20" s="22"/>
    </row>
    <row r="21" spans="1:13" s="8" customFormat="1" ht="15" x14ac:dyDescent="0.25">
      <c r="A21" s="36" t="s">
        <v>5</v>
      </c>
      <c r="B21" s="25" t="s">
        <v>45</v>
      </c>
      <c r="C21" s="15" t="s">
        <v>67</v>
      </c>
      <c r="D21" s="22">
        <v>3</v>
      </c>
      <c r="E21" s="1">
        <f t="shared" si="0"/>
        <v>24</v>
      </c>
      <c r="F21" s="24">
        <v>0.5</v>
      </c>
      <c r="G21" s="7">
        <f t="shared" si="1"/>
        <v>12</v>
      </c>
      <c r="H21" s="22">
        <v>25</v>
      </c>
      <c r="I21" s="7">
        <f t="shared" si="2"/>
        <v>300</v>
      </c>
      <c r="L21" s="22" t="s">
        <v>124</v>
      </c>
      <c r="M21" s="22">
        <v>21080</v>
      </c>
    </row>
    <row r="22" spans="1:13" s="2" customFormat="1" ht="15" x14ac:dyDescent="0.25">
      <c r="A22" s="5"/>
      <c r="B22" s="4"/>
      <c r="C22" s="15" t="s">
        <v>69</v>
      </c>
      <c r="D22" s="22">
        <v>3</v>
      </c>
      <c r="E22" s="1">
        <f t="shared" si="0"/>
        <v>24</v>
      </c>
      <c r="F22" s="24">
        <v>0.5</v>
      </c>
      <c r="G22" s="7">
        <f t="shared" si="1"/>
        <v>12</v>
      </c>
      <c r="H22" s="22">
        <v>21</v>
      </c>
      <c r="I22" s="7">
        <f t="shared" si="2"/>
        <v>252</v>
      </c>
      <c r="L22" s="60" t="s">
        <v>125</v>
      </c>
      <c r="M22" s="61">
        <f>SUM(M17:M21)</f>
        <v>142297.1333333333</v>
      </c>
    </row>
    <row r="23" spans="1:13" s="2" customFormat="1" ht="15" x14ac:dyDescent="0.25">
      <c r="A23" s="27" t="s">
        <v>131</v>
      </c>
      <c r="B23" s="26" t="s">
        <v>130</v>
      </c>
      <c r="C23" s="15"/>
      <c r="D23" s="7"/>
      <c r="E23" s="1"/>
      <c r="F23" s="24"/>
      <c r="G23" s="7"/>
      <c r="H23" s="22"/>
      <c r="I23" s="7"/>
      <c r="L23" s="60" t="s">
        <v>126</v>
      </c>
      <c r="M23" s="61">
        <v>10000</v>
      </c>
    </row>
    <row r="24" spans="1:13" ht="15" x14ac:dyDescent="0.25">
      <c r="A24" s="5"/>
      <c r="B24" s="4"/>
      <c r="C24" s="15"/>
      <c r="D24" s="7"/>
      <c r="E24" s="1"/>
      <c r="F24" s="24"/>
      <c r="G24" s="7"/>
      <c r="H24" s="22"/>
      <c r="I24" s="7"/>
      <c r="L24" s="58" t="s">
        <v>127</v>
      </c>
      <c r="M24" s="59">
        <f>M22+M23</f>
        <v>152297.1333333333</v>
      </c>
    </row>
    <row r="25" spans="1:13" ht="15" x14ac:dyDescent="0.25">
      <c r="A25" s="36" t="s">
        <v>9</v>
      </c>
      <c r="B25" s="25" t="s">
        <v>12</v>
      </c>
      <c r="C25" s="15" t="s">
        <v>68</v>
      </c>
      <c r="D25" s="22">
        <v>3</v>
      </c>
      <c r="E25" s="1">
        <f t="shared" si="0"/>
        <v>24</v>
      </c>
      <c r="F25" s="24">
        <v>0.6</v>
      </c>
      <c r="G25" s="7">
        <f t="shared" si="1"/>
        <v>14.399999999999999</v>
      </c>
      <c r="H25" s="22">
        <v>21</v>
      </c>
      <c r="I25" s="7">
        <f t="shared" si="2"/>
        <v>302.39999999999998</v>
      </c>
      <c r="L25" s="55" t="s">
        <v>122</v>
      </c>
      <c r="M25" s="56">
        <f>200000-M24</f>
        <v>47702.866666666698</v>
      </c>
    </row>
    <row r="26" spans="1:13" s="8" customFormat="1" ht="15" x14ac:dyDescent="0.25">
      <c r="A26" s="5"/>
      <c r="B26" s="4"/>
      <c r="C26" s="15" t="s">
        <v>88</v>
      </c>
      <c r="D26" s="22">
        <v>3</v>
      </c>
      <c r="E26" s="1">
        <f t="shared" si="0"/>
        <v>24</v>
      </c>
      <c r="F26" s="24">
        <v>0.4</v>
      </c>
      <c r="G26" s="7">
        <f t="shared" si="1"/>
        <v>9.6000000000000014</v>
      </c>
      <c r="H26" s="22">
        <v>12</v>
      </c>
      <c r="I26" s="7">
        <f t="shared" si="2"/>
        <v>115.20000000000002</v>
      </c>
      <c r="L26" s="62" t="s">
        <v>128</v>
      </c>
      <c r="M26" s="63">
        <f>M25+M24</f>
        <v>200000</v>
      </c>
    </row>
    <row r="27" spans="1:13" s="8" customFormat="1" ht="15" x14ac:dyDescent="0.25">
      <c r="A27" s="27" t="s">
        <v>77</v>
      </c>
      <c r="B27" s="26" t="s">
        <v>140</v>
      </c>
      <c r="C27" s="15"/>
      <c r="D27" s="22"/>
      <c r="E27" s="1"/>
      <c r="F27" s="24"/>
      <c r="G27" s="7"/>
      <c r="H27" s="22"/>
      <c r="I27" s="7"/>
      <c r="L27" s="2"/>
      <c r="M27" s="2"/>
    </row>
    <row r="28" spans="1:13" s="8" customFormat="1" ht="15" x14ac:dyDescent="0.25">
      <c r="A28" s="38" t="s">
        <v>132</v>
      </c>
      <c r="B28" s="26" t="s">
        <v>78</v>
      </c>
      <c r="C28" s="39" t="s">
        <v>87</v>
      </c>
      <c r="D28" s="22">
        <v>56</v>
      </c>
      <c r="E28" s="1">
        <f t="shared" si="0"/>
        <v>448</v>
      </c>
      <c r="F28" s="24">
        <v>0.9</v>
      </c>
      <c r="G28" s="7">
        <f t="shared" si="1"/>
        <v>403.2</v>
      </c>
      <c r="H28" s="22">
        <v>21</v>
      </c>
      <c r="I28" s="7">
        <f t="shared" si="2"/>
        <v>8467.1999999999989</v>
      </c>
      <c r="L28" s="3"/>
      <c r="M28" s="3"/>
    </row>
    <row r="29" spans="1:13" s="2" customFormat="1" ht="15" x14ac:dyDescent="0.25">
      <c r="A29" s="40"/>
      <c r="B29" s="19"/>
      <c r="C29" s="39" t="s">
        <v>67</v>
      </c>
      <c r="D29" s="22">
        <v>61</v>
      </c>
      <c r="E29" s="1">
        <f t="shared" si="0"/>
        <v>488</v>
      </c>
      <c r="F29" s="24">
        <v>0.1</v>
      </c>
      <c r="G29" s="7">
        <f t="shared" si="1"/>
        <v>48.800000000000004</v>
      </c>
      <c r="H29" s="22">
        <v>25</v>
      </c>
      <c r="I29" s="7">
        <f t="shared" si="2"/>
        <v>1220</v>
      </c>
      <c r="L29" s="3"/>
      <c r="M29" s="3"/>
    </row>
    <row r="30" spans="1:13" s="2" customFormat="1" ht="15" x14ac:dyDescent="0.25">
      <c r="A30" s="40"/>
      <c r="B30" s="19"/>
      <c r="C30" s="39"/>
      <c r="D30" s="8"/>
      <c r="E30" s="1"/>
      <c r="F30" s="24"/>
      <c r="G30" s="7"/>
      <c r="H30" s="22"/>
      <c r="I30" s="7"/>
      <c r="L30" s="8"/>
      <c r="M30" s="8"/>
    </row>
    <row r="31" spans="1:13" s="2" customFormat="1" ht="15" x14ac:dyDescent="0.25">
      <c r="A31" s="36" t="s">
        <v>10</v>
      </c>
      <c r="B31" s="25" t="s">
        <v>27</v>
      </c>
      <c r="C31" s="15" t="s">
        <v>92</v>
      </c>
      <c r="D31" s="7">
        <v>3</v>
      </c>
      <c r="E31" s="1">
        <f t="shared" si="0"/>
        <v>24</v>
      </c>
      <c r="F31" s="24">
        <v>0.5</v>
      </c>
      <c r="G31" s="7">
        <f t="shared" si="1"/>
        <v>12</v>
      </c>
      <c r="H31" s="22">
        <v>21</v>
      </c>
      <c r="I31" s="7">
        <f t="shared" si="2"/>
        <v>252</v>
      </c>
      <c r="L31" s="8"/>
      <c r="M31" s="8"/>
    </row>
    <row r="32" spans="1:13" s="2" customFormat="1" ht="15" x14ac:dyDescent="0.25">
      <c r="A32" s="5"/>
      <c r="B32" s="4"/>
      <c r="C32" s="15" t="s">
        <v>93</v>
      </c>
      <c r="D32" s="7">
        <v>3</v>
      </c>
      <c r="E32" s="1">
        <f t="shared" si="0"/>
        <v>24</v>
      </c>
      <c r="F32" s="24">
        <v>0.5</v>
      </c>
      <c r="G32" s="7">
        <f t="shared" si="1"/>
        <v>12</v>
      </c>
      <c r="H32" s="22">
        <v>12</v>
      </c>
      <c r="I32" s="7">
        <f t="shared" si="2"/>
        <v>144</v>
      </c>
      <c r="L32" s="8"/>
      <c r="M32" s="8"/>
    </row>
    <row r="33" spans="1:13" s="20" customFormat="1" ht="15" x14ac:dyDescent="0.25">
      <c r="A33" s="37" t="s">
        <v>36</v>
      </c>
      <c r="B33" s="27" t="s">
        <v>37</v>
      </c>
      <c r="C33" s="15" t="s">
        <v>92</v>
      </c>
      <c r="D33" s="7">
        <v>3</v>
      </c>
      <c r="E33" s="1">
        <f t="shared" si="0"/>
        <v>24</v>
      </c>
      <c r="F33" s="24">
        <v>0.5</v>
      </c>
      <c r="G33" s="7">
        <f t="shared" si="1"/>
        <v>12</v>
      </c>
      <c r="H33" s="22">
        <v>21</v>
      </c>
      <c r="I33" s="7">
        <f t="shared" si="2"/>
        <v>252</v>
      </c>
      <c r="L33" s="2"/>
      <c r="M33" s="2"/>
    </row>
    <row r="34" spans="1:13" s="20" customFormat="1" ht="15" x14ac:dyDescent="0.25">
      <c r="A34" s="5"/>
      <c r="B34" s="4"/>
      <c r="C34" s="15" t="s">
        <v>93</v>
      </c>
      <c r="D34" s="7">
        <v>3</v>
      </c>
      <c r="E34" s="1">
        <f t="shared" si="0"/>
        <v>24</v>
      </c>
      <c r="F34" s="24">
        <v>0.5</v>
      </c>
      <c r="G34" s="7">
        <f t="shared" si="1"/>
        <v>12</v>
      </c>
      <c r="H34" s="22">
        <v>12</v>
      </c>
      <c r="I34" s="7">
        <f t="shared" si="2"/>
        <v>144</v>
      </c>
      <c r="L34" s="2"/>
      <c r="M34" s="2"/>
    </row>
    <row r="35" spans="1:13" s="20" customFormat="1" ht="15" x14ac:dyDescent="0.25">
      <c r="A35" s="27" t="s">
        <v>79</v>
      </c>
      <c r="B35" s="26" t="s">
        <v>140</v>
      </c>
      <c r="C35" s="15"/>
      <c r="D35" s="7"/>
      <c r="E35" s="1"/>
      <c r="F35" s="24"/>
      <c r="G35" s="7"/>
      <c r="H35" s="22"/>
      <c r="I35" s="7"/>
      <c r="L35" s="2"/>
      <c r="M35" s="2"/>
    </row>
    <row r="36" spans="1:13" s="20" customFormat="1" ht="15" x14ac:dyDescent="0.25">
      <c r="A36" s="38" t="s">
        <v>133</v>
      </c>
      <c r="B36" s="26" t="s">
        <v>80</v>
      </c>
      <c r="C36" s="39" t="s">
        <v>92</v>
      </c>
      <c r="D36" s="22">
        <v>59</v>
      </c>
      <c r="E36" s="1">
        <f t="shared" si="0"/>
        <v>472</v>
      </c>
      <c r="F36" s="24">
        <v>0.7</v>
      </c>
      <c r="G36" s="7">
        <f t="shared" si="1"/>
        <v>330.4</v>
      </c>
      <c r="H36" s="22">
        <v>21</v>
      </c>
      <c r="I36" s="7">
        <f t="shared" si="2"/>
        <v>6938.4</v>
      </c>
      <c r="L36" s="2"/>
      <c r="M36" s="2"/>
    </row>
    <row r="37" spans="1:13" s="20" customFormat="1" ht="15" x14ac:dyDescent="0.25">
      <c r="A37" s="40"/>
      <c r="B37" s="19"/>
      <c r="C37" s="39" t="s">
        <v>67</v>
      </c>
      <c r="D37" s="22">
        <v>59</v>
      </c>
      <c r="E37" s="1">
        <f t="shared" si="0"/>
        <v>472</v>
      </c>
      <c r="F37" s="24">
        <v>0.1</v>
      </c>
      <c r="G37" s="7">
        <f t="shared" si="1"/>
        <v>47.2</v>
      </c>
      <c r="H37" s="22">
        <v>25</v>
      </c>
      <c r="I37" s="7">
        <f t="shared" si="2"/>
        <v>1180</v>
      </c>
      <c r="L37" s="2"/>
      <c r="M37" s="2"/>
    </row>
    <row r="38" spans="1:13" s="2" customFormat="1" ht="15" x14ac:dyDescent="0.25">
      <c r="A38" s="40"/>
      <c r="B38" s="19"/>
      <c r="C38" s="39" t="s">
        <v>83</v>
      </c>
      <c r="D38" s="22">
        <v>58</v>
      </c>
      <c r="E38" s="1">
        <f t="shared" si="0"/>
        <v>464</v>
      </c>
      <c r="F38" s="24">
        <v>0.2</v>
      </c>
      <c r="G38" s="7">
        <f t="shared" si="1"/>
        <v>92.800000000000011</v>
      </c>
      <c r="H38" s="22">
        <v>21</v>
      </c>
      <c r="I38" s="7">
        <f t="shared" si="2"/>
        <v>1948.8000000000002</v>
      </c>
      <c r="L38" s="20"/>
      <c r="M38" s="20"/>
    </row>
    <row r="39" spans="1:13" s="2" customFormat="1" ht="15" x14ac:dyDescent="0.25">
      <c r="A39" s="40"/>
      <c r="B39" s="19"/>
      <c r="C39" s="39"/>
      <c r="D39" s="22"/>
      <c r="E39" s="1"/>
      <c r="F39" s="24"/>
      <c r="G39" s="7"/>
      <c r="H39" s="22"/>
      <c r="I39" s="7"/>
      <c r="L39" s="20"/>
      <c r="M39" s="20"/>
    </row>
    <row r="40" spans="1:13" ht="15" x14ac:dyDescent="0.25">
      <c r="A40" s="36" t="s">
        <v>11</v>
      </c>
      <c r="B40" s="25" t="s">
        <v>14</v>
      </c>
      <c r="C40" s="15" t="s">
        <v>96</v>
      </c>
      <c r="D40" s="7">
        <v>2</v>
      </c>
      <c r="E40" s="1">
        <f t="shared" si="0"/>
        <v>16</v>
      </c>
      <c r="F40" s="24">
        <v>0.3</v>
      </c>
      <c r="G40" s="7">
        <f t="shared" si="1"/>
        <v>4.8</v>
      </c>
      <c r="H40" s="22">
        <v>21</v>
      </c>
      <c r="I40" s="7">
        <f t="shared" si="2"/>
        <v>100.8</v>
      </c>
      <c r="L40" s="20"/>
      <c r="M40" s="20"/>
    </row>
    <row r="41" spans="1:13" s="2" customFormat="1" ht="15" x14ac:dyDescent="0.25">
      <c r="A41" s="5"/>
      <c r="B41" s="4"/>
      <c r="C41" s="15" t="s">
        <v>95</v>
      </c>
      <c r="D41" s="7">
        <v>2</v>
      </c>
      <c r="E41" s="1">
        <f t="shared" si="0"/>
        <v>16</v>
      </c>
      <c r="F41" s="24">
        <v>0.4</v>
      </c>
      <c r="G41" s="7">
        <f t="shared" si="1"/>
        <v>6.4</v>
      </c>
      <c r="H41" s="22">
        <v>12</v>
      </c>
      <c r="I41" s="7">
        <f t="shared" si="2"/>
        <v>76.800000000000011</v>
      </c>
      <c r="L41" s="20"/>
      <c r="M41" s="20"/>
    </row>
    <row r="42" spans="1:13" s="22" customFormat="1" ht="15" x14ac:dyDescent="0.25">
      <c r="A42" s="37" t="s">
        <v>21</v>
      </c>
      <c r="B42" s="27" t="s">
        <v>54</v>
      </c>
      <c r="C42" s="15" t="s">
        <v>96</v>
      </c>
      <c r="D42" s="22">
        <v>2</v>
      </c>
      <c r="E42" s="1">
        <f t="shared" si="0"/>
        <v>16</v>
      </c>
      <c r="F42" s="24">
        <v>0.2</v>
      </c>
      <c r="G42" s="7">
        <f t="shared" si="1"/>
        <v>3.2</v>
      </c>
      <c r="H42" s="22">
        <v>21</v>
      </c>
      <c r="I42" s="7">
        <f t="shared" si="2"/>
        <v>67.2</v>
      </c>
      <c r="L42" s="2"/>
      <c r="M42" s="2"/>
    </row>
    <row r="43" spans="1:13" s="22" customFormat="1" ht="15" x14ac:dyDescent="0.25">
      <c r="A43" s="5"/>
      <c r="B43" s="4"/>
      <c r="C43" s="15" t="s">
        <v>95</v>
      </c>
      <c r="D43" s="7">
        <v>2</v>
      </c>
      <c r="E43" s="1">
        <f t="shared" si="0"/>
        <v>16</v>
      </c>
      <c r="F43" s="24">
        <v>0.6</v>
      </c>
      <c r="G43" s="7">
        <f t="shared" si="1"/>
        <v>9.6</v>
      </c>
      <c r="H43" s="22">
        <v>12</v>
      </c>
      <c r="I43" s="7">
        <f t="shared" si="2"/>
        <v>115.19999999999999</v>
      </c>
      <c r="L43" s="2"/>
      <c r="M43" s="2"/>
    </row>
    <row r="44" spans="1:13" s="22" customFormat="1" ht="15" x14ac:dyDescent="0.25">
      <c r="A44" s="27" t="s">
        <v>22</v>
      </c>
      <c r="B44" s="26" t="s">
        <v>140</v>
      </c>
      <c r="C44" s="15"/>
      <c r="D44" s="7"/>
      <c r="E44" s="1"/>
      <c r="F44" s="24"/>
      <c r="G44" s="7"/>
      <c r="I44" s="7"/>
      <c r="L44" s="2"/>
      <c r="M44" s="2"/>
    </row>
    <row r="45" spans="1:13" s="22" customFormat="1" ht="15" x14ac:dyDescent="0.25">
      <c r="A45" s="38" t="s">
        <v>134</v>
      </c>
      <c r="B45" s="26" t="s">
        <v>66</v>
      </c>
      <c r="C45" s="15" t="s">
        <v>96</v>
      </c>
      <c r="D45" s="21">
        <v>60</v>
      </c>
      <c r="E45" s="1">
        <f t="shared" si="0"/>
        <v>480</v>
      </c>
      <c r="F45" s="24">
        <v>0.5</v>
      </c>
      <c r="G45" s="7">
        <f t="shared" si="1"/>
        <v>240</v>
      </c>
      <c r="H45" s="22">
        <v>21</v>
      </c>
      <c r="I45" s="7">
        <f t="shared" si="2"/>
        <v>5040</v>
      </c>
      <c r="L45" s="3"/>
      <c r="M45" s="3"/>
    </row>
    <row r="46" spans="1:13" ht="15" x14ac:dyDescent="0.25">
      <c r="A46" s="40"/>
      <c r="B46" s="19"/>
      <c r="C46" s="39" t="s">
        <v>94</v>
      </c>
      <c r="D46" s="21">
        <v>60</v>
      </c>
      <c r="E46" s="1">
        <f t="shared" si="0"/>
        <v>480</v>
      </c>
      <c r="F46" s="24">
        <v>0.1</v>
      </c>
      <c r="G46" s="7">
        <f t="shared" si="1"/>
        <v>48</v>
      </c>
      <c r="H46" s="22">
        <v>25</v>
      </c>
      <c r="I46" s="7">
        <f t="shared" si="2"/>
        <v>1200</v>
      </c>
      <c r="L46" s="2"/>
      <c r="M46" s="2"/>
    </row>
    <row r="47" spans="1:13" s="2" customFormat="1" ht="15" x14ac:dyDescent="0.25">
      <c r="A47" s="40"/>
      <c r="B47" s="19"/>
      <c r="C47" s="39"/>
      <c r="D47" s="21"/>
      <c r="E47" s="1"/>
      <c r="F47" s="24"/>
      <c r="G47" s="7"/>
      <c r="H47" s="22"/>
      <c r="I47" s="7"/>
      <c r="L47" s="22"/>
      <c r="M47" s="22"/>
    </row>
    <row r="48" spans="1:13" ht="15" x14ac:dyDescent="0.25">
      <c r="A48" s="36" t="s">
        <v>13</v>
      </c>
      <c r="B48" s="25" t="s">
        <v>16</v>
      </c>
      <c r="C48" s="15" t="s">
        <v>96</v>
      </c>
      <c r="D48" s="28">
        <v>3</v>
      </c>
      <c r="E48" s="1">
        <f t="shared" si="0"/>
        <v>24</v>
      </c>
      <c r="F48" s="24">
        <v>0.25</v>
      </c>
      <c r="G48" s="7">
        <f t="shared" si="1"/>
        <v>6</v>
      </c>
      <c r="H48" s="22">
        <v>21</v>
      </c>
      <c r="I48" s="7">
        <f t="shared" si="2"/>
        <v>126</v>
      </c>
      <c r="L48" s="22"/>
      <c r="M48" s="22"/>
    </row>
    <row r="49" spans="1:13" s="2" customFormat="1" ht="15" x14ac:dyDescent="0.25">
      <c r="A49" s="5"/>
      <c r="B49" s="4"/>
      <c r="C49" s="15" t="s">
        <v>95</v>
      </c>
      <c r="D49" s="7">
        <v>3</v>
      </c>
      <c r="E49" s="1">
        <f t="shared" si="0"/>
        <v>24</v>
      </c>
      <c r="F49" s="24">
        <v>0.5</v>
      </c>
      <c r="G49" s="7">
        <f t="shared" si="1"/>
        <v>12</v>
      </c>
      <c r="H49" s="22">
        <v>12</v>
      </c>
      <c r="I49" s="7">
        <f t="shared" si="2"/>
        <v>144</v>
      </c>
      <c r="L49" s="22"/>
      <c r="M49" s="22"/>
    </row>
    <row r="50" spans="1:13" s="8" customFormat="1" ht="15" x14ac:dyDescent="0.25">
      <c r="A50" s="37" t="s">
        <v>23</v>
      </c>
      <c r="B50" s="27" t="s">
        <v>65</v>
      </c>
      <c r="C50" s="15" t="s">
        <v>96</v>
      </c>
      <c r="D50" s="21">
        <v>3</v>
      </c>
      <c r="E50" s="1">
        <f t="shared" si="0"/>
        <v>24</v>
      </c>
      <c r="F50" s="24">
        <v>0.25</v>
      </c>
      <c r="G50" s="7">
        <f t="shared" si="1"/>
        <v>6</v>
      </c>
      <c r="H50" s="22">
        <v>21</v>
      </c>
      <c r="I50" s="7">
        <f t="shared" si="2"/>
        <v>126</v>
      </c>
      <c r="L50" s="3"/>
      <c r="M50" s="3"/>
    </row>
    <row r="51" spans="1:13" s="8" customFormat="1" ht="15" x14ac:dyDescent="0.25">
      <c r="A51" s="5"/>
      <c r="B51" s="4"/>
      <c r="C51" s="15" t="s">
        <v>95</v>
      </c>
      <c r="D51" s="7">
        <v>3</v>
      </c>
      <c r="E51" s="1">
        <f t="shared" si="0"/>
        <v>24</v>
      </c>
      <c r="F51" s="24">
        <v>0.5</v>
      </c>
      <c r="G51" s="7">
        <f t="shared" si="1"/>
        <v>12</v>
      </c>
      <c r="H51" s="22">
        <v>12</v>
      </c>
      <c r="I51" s="7">
        <f t="shared" si="2"/>
        <v>144</v>
      </c>
      <c r="L51" s="2"/>
      <c r="M51" s="2"/>
    </row>
    <row r="52" spans="1:13" s="8" customFormat="1" ht="15" x14ac:dyDescent="0.25">
      <c r="A52" s="27" t="s">
        <v>81</v>
      </c>
      <c r="B52" s="26" t="s">
        <v>140</v>
      </c>
      <c r="C52" s="15"/>
      <c r="D52" s="7"/>
      <c r="E52" s="1"/>
      <c r="F52" s="24"/>
      <c r="G52" s="7"/>
      <c r="H52" s="22"/>
      <c r="I52" s="7"/>
      <c r="L52" s="2"/>
      <c r="M52" s="2"/>
    </row>
    <row r="53" spans="1:13" s="8" customFormat="1" ht="15" x14ac:dyDescent="0.25">
      <c r="A53" s="38" t="s">
        <v>135</v>
      </c>
      <c r="B53" s="26" t="s">
        <v>82</v>
      </c>
      <c r="C53" s="39" t="s">
        <v>96</v>
      </c>
      <c r="D53" s="22">
        <v>57</v>
      </c>
      <c r="E53" s="1">
        <f t="shared" si="0"/>
        <v>456</v>
      </c>
      <c r="F53" s="24">
        <v>0.2</v>
      </c>
      <c r="G53" s="7">
        <f t="shared" si="1"/>
        <v>91.2</v>
      </c>
      <c r="H53" s="22">
        <v>21</v>
      </c>
      <c r="I53" s="7">
        <f t="shared" si="2"/>
        <v>1915.2</v>
      </c>
      <c r="L53" s="3"/>
      <c r="M53" s="3"/>
    </row>
    <row r="54" spans="1:13" ht="15" x14ac:dyDescent="0.25">
      <c r="A54" s="40"/>
      <c r="B54" s="19"/>
      <c r="C54" s="39" t="s">
        <v>94</v>
      </c>
      <c r="D54" s="22">
        <v>57</v>
      </c>
      <c r="E54" s="1">
        <f t="shared" si="0"/>
        <v>456</v>
      </c>
      <c r="F54" s="24">
        <v>0.5</v>
      </c>
      <c r="G54" s="7">
        <f t="shared" si="1"/>
        <v>228</v>
      </c>
      <c r="H54" s="22">
        <v>25</v>
      </c>
      <c r="I54" s="7">
        <f t="shared" si="2"/>
        <v>5700</v>
      </c>
      <c r="L54" s="2"/>
      <c r="M54" s="2"/>
    </row>
    <row r="55" spans="1:13" ht="15" x14ac:dyDescent="0.25">
      <c r="A55" s="40"/>
      <c r="B55" s="19"/>
      <c r="C55" s="39"/>
      <c r="D55" s="8"/>
      <c r="E55" s="1"/>
      <c r="F55" s="24"/>
      <c r="G55" s="7"/>
      <c r="H55" s="22"/>
      <c r="I55" s="7"/>
      <c r="L55" s="8"/>
      <c r="M55" s="8"/>
    </row>
    <row r="56" spans="1:13" ht="15" x14ac:dyDescent="0.25">
      <c r="A56" s="36" t="s">
        <v>15</v>
      </c>
      <c r="B56" s="25" t="s">
        <v>17</v>
      </c>
      <c r="C56" s="15" t="s">
        <v>69</v>
      </c>
      <c r="D56" s="7">
        <v>16</v>
      </c>
      <c r="E56" s="1">
        <f t="shared" si="0"/>
        <v>128</v>
      </c>
      <c r="F56" s="24">
        <v>0.5</v>
      </c>
      <c r="G56" s="7">
        <f t="shared" si="1"/>
        <v>64</v>
      </c>
      <c r="H56" s="22">
        <v>21</v>
      </c>
      <c r="I56" s="7">
        <f t="shared" si="2"/>
        <v>1344</v>
      </c>
      <c r="L56" s="8"/>
      <c r="M56" s="8"/>
    </row>
    <row r="57" spans="1:13" ht="15" x14ac:dyDescent="0.25">
      <c r="A57" s="5"/>
      <c r="B57" s="4"/>
      <c r="C57" s="15" t="s">
        <v>97</v>
      </c>
      <c r="D57" s="7">
        <v>16</v>
      </c>
      <c r="E57" s="1">
        <f t="shared" si="0"/>
        <v>128</v>
      </c>
      <c r="F57" s="24">
        <v>0.5</v>
      </c>
      <c r="G57" s="7">
        <f t="shared" si="1"/>
        <v>64</v>
      </c>
      <c r="H57" s="22">
        <v>12</v>
      </c>
      <c r="I57" s="7">
        <f t="shared" si="2"/>
        <v>768</v>
      </c>
      <c r="L57" s="8"/>
      <c r="M57" s="8"/>
    </row>
    <row r="58" spans="1:13" ht="15" x14ac:dyDescent="0.25">
      <c r="A58" s="37" t="s">
        <v>28</v>
      </c>
      <c r="B58" s="27" t="s">
        <v>24</v>
      </c>
      <c r="C58" s="15" t="s">
        <v>69</v>
      </c>
      <c r="D58" s="7">
        <v>3</v>
      </c>
      <c r="E58" s="1">
        <f t="shared" si="0"/>
        <v>24</v>
      </c>
      <c r="F58" s="24">
        <v>0.5</v>
      </c>
      <c r="G58" s="7">
        <f t="shared" si="1"/>
        <v>12</v>
      </c>
      <c r="H58" s="22">
        <v>21</v>
      </c>
      <c r="I58" s="7">
        <f t="shared" si="2"/>
        <v>252</v>
      </c>
    </row>
    <row r="59" spans="1:13" ht="15" x14ac:dyDescent="0.25">
      <c r="A59" s="5"/>
      <c r="B59" s="4"/>
      <c r="C59" s="15" t="s">
        <v>97</v>
      </c>
      <c r="D59" s="7">
        <v>3</v>
      </c>
      <c r="E59" s="1">
        <f t="shared" si="0"/>
        <v>24</v>
      </c>
      <c r="F59" s="24">
        <v>0.5</v>
      </c>
      <c r="G59" s="7">
        <f t="shared" si="1"/>
        <v>12</v>
      </c>
      <c r="H59" s="22">
        <v>12</v>
      </c>
      <c r="I59" s="7">
        <f t="shared" si="2"/>
        <v>144</v>
      </c>
    </row>
    <row r="60" spans="1:13" ht="15" x14ac:dyDescent="0.25">
      <c r="A60" s="37" t="s">
        <v>38</v>
      </c>
      <c r="B60" s="27" t="s">
        <v>71</v>
      </c>
      <c r="C60" s="15" t="s">
        <v>69</v>
      </c>
      <c r="D60" s="7">
        <v>4</v>
      </c>
      <c r="E60" s="1">
        <f t="shared" si="0"/>
        <v>32</v>
      </c>
      <c r="F60" s="24">
        <v>0.25</v>
      </c>
      <c r="G60" s="7">
        <f t="shared" si="1"/>
        <v>8</v>
      </c>
      <c r="H60" s="22">
        <v>21</v>
      </c>
      <c r="I60" s="7">
        <f t="shared" si="2"/>
        <v>168</v>
      </c>
    </row>
    <row r="61" spans="1:13" ht="15" x14ac:dyDescent="0.25">
      <c r="A61" s="5"/>
      <c r="B61" s="4"/>
      <c r="C61" s="15" t="s">
        <v>97</v>
      </c>
      <c r="D61" s="7">
        <v>4</v>
      </c>
      <c r="E61" s="1">
        <f t="shared" si="0"/>
        <v>32</v>
      </c>
      <c r="F61" s="24">
        <v>0.25</v>
      </c>
      <c r="G61" s="7">
        <f t="shared" si="1"/>
        <v>8</v>
      </c>
      <c r="H61" s="22">
        <v>12</v>
      </c>
      <c r="I61" s="7">
        <f t="shared" si="2"/>
        <v>96</v>
      </c>
    </row>
    <row r="62" spans="1:13" ht="15" x14ac:dyDescent="0.25">
      <c r="A62" s="37" t="s">
        <v>39</v>
      </c>
      <c r="B62" s="27" t="s">
        <v>72</v>
      </c>
      <c r="C62" s="15" t="s">
        <v>69</v>
      </c>
      <c r="D62" s="7">
        <v>4</v>
      </c>
      <c r="E62" s="1">
        <f t="shared" si="0"/>
        <v>32</v>
      </c>
      <c r="F62" s="24">
        <v>0.25</v>
      </c>
      <c r="G62" s="7">
        <f t="shared" si="1"/>
        <v>8</v>
      </c>
      <c r="H62" s="22">
        <v>21</v>
      </c>
      <c r="I62" s="7">
        <f t="shared" si="2"/>
        <v>168</v>
      </c>
    </row>
    <row r="63" spans="1:13" ht="15" x14ac:dyDescent="0.25">
      <c r="A63" s="5"/>
      <c r="B63" s="4"/>
      <c r="C63" s="15" t="s">
        <v>97</v>
      </c>
      <c r="D63" s="7">
        <v>4</v>
      </c>
      <c r="E63" s="1">
        <f t="shared" si="0"/>
        <v>32</v>
      </c>
      <c r="F63" s="24">
        <v>0.25</v>
      </c>
      <c r="G63" s="7">
        <f t="shared" si="1"/>
        <v>8</v>
      </c>
      <c r="H63" s="22">
        <v>12</v>
      </c>
      <c r="I63" s="7">
        <f t="shared" si="2"/>
        <v>96</v>
      </c>
    </row>
    <row r="64" spans="1:13" s="22" customFormat="1" ht="15" x14ac:dyDescent="0.25">
      <c r="A64" s="37" t="s">
        <v>40</v>
      </c>
      <c r="B64" s="27" t="s">
        <v>25</v>
      </c>
      <c r="C64" s="15" t="s">
        <v>76</v>
      </c>
      <c r="D64" s="7">
        <v>5</v>
      </c>
      <c r="E64" s="1">
        <f t="shared" si="0"/>
        <v>40</v>
      </c>
      <c r="F64" s="24">
        <v>0.5</v>
      </c>
      <c r="G64" s="7">
        <f t="shared" si="1"/>
        <v>20</v>
      </c>
      <c r="H64" s="22">
        <v>21</v>
      </c>
      <c r="I64" s="7">
        <f t="shared" si="2"/>
        <v>420</v>
      </c>
      <c r="L64" s="3"/>
      <c r="M64" s="3"/>
    </row>
    <row r="65" spans="1:13" s="22" customFormat="1" ht="15" x14ac:dyDescent="0.25">
      <c r="A65" s="5"/>
      <c r="B65" s="4"/>
      <c r="C65" s="15" t="s">
        <v>97</v>
      </c>
      <c r="D65" s="7">
        <v>5</v>
      </c>
      <c r="E65" s="1">
        <f t="shared" si="0"/>
        <v>40</v>
      </c>
      <c r="F65" s="24">
        <v>0.5</v>
      </c>
      <c r="G65" s="7">
        <f t="shared" si="1"/>
        <v>20</v>
      </c>
      <c r="H65" s="22">
        <v>12</v>
      </c>
      <c r="I65" s="7">
        <f t="shared" si="2"/>
        <v>240</v>
      </c>
      <c r="L65" s="3"/>
      <c r="M65" s="3"/>
    </row>
    <row r="66" spans="1:13" s="22" customFormat="1" ht="15" x14ac:dyDescent="0.25">
      <c r="A66" s="27" t="s">
        <v>74</v>
      </c>
      <c r="B66" s="26" t="s">
        <v>140</v>
      </c>
      <c r="C66" s="15"/>
      <c r="D66" s="7"/>
      <c r="E66" s="1"/>
      <c r="F66" s="24"/>
      <c r="G66" s="7"/>
      <c r="I66" s="7"/>
      <c r="L66" s="3"/>
      <c r="M66" s="3"/>
    </row>
    <row r="67" spans="1:13" s="22" customFormat="1" ht="15" x14ac:dyDescent="0.25">
      <c r="A67" s="38" t="s">
        <v>136</v>
      </c>
      <c r="B67" s="26" t="s">
        <v>75</v>
      </c>
      <c r="C67" s="39" t="s">
        <v>76</v>
      </c>
      <c r="D67" s="22">
        <v>41</v>
      </c>
      <c r="E67" s="1">
        <f t="shared" si="0"/>
        <v>328</v>
      </c>
      <c r="F67" s="24">
        <v>0.8</v>
      </c>
      <c r="G67" s="7">
        <f t="shared" si="1"/>
        <v>262.40000000000003</v>
      </c>
      <c r="H67" s="22">
        <v>21</v>
      </c>
      <c r="I67" s="7">
        <f t="shared" si="2"/>
        <v>5510.4000000000005</v>
      </c>
      <c r="L67" s="3"/>
      <c r="M67" s="3"/>
    </row>
    <row r="68" spans="1:13" ht="15" x14ac:dyDescent="0.25">
      <c r="A68" s="40"/>
      <c r="B68" s="19"/>
      <c r="C68" s="39" t="s">
        <v>67</v>
      </c>
      <c r="D68" s="22">
        <v>41</v>
      </c>
      <c r="E68" s="1">
        <f t="shared" si="0"/>
        <v>328</v>
      </c>
      <c r="F68" s="24">
        <v>0.2</v>
      </c>
      <c r="G68" s="7">
        <f t="shared" si="1"/>
        <v>65.600000000000009</v>
      </c>
      <c r="H68" s="22">
        <v>25</v>
      </c>
      <c r="I68" s="7">
        <f t="shared" si="2"/>
        <v>1640.0000000000002</v>
      </c>
    </row>
    <row r="69" spans="1:13" ht="15" x14ac:dyDescent="0.25">
      <c r="A69" s="40"/>
      <c r="B69" s="19"/>
      <c r="C69" s="39"/>
      <c r="D69" s="22"/>
      <c r="E69" s="1"/>
      <c r="F69" s="24"/>
      <c r="G69" s="7"/>
      <c r="H69" s="22"/>
      <c r="I69" s="7"/>
      <c r="L69" s="22"/>
      <c r="M69" s="22"/>
    </row>
    <row r="70" spans="1:13" ht="15" x14ac:dyDescent="0.25">
      <c r="A70" s="36" t="s">
        <v>47</v>
      </c>
      <c r="B70" s="25" t="s">
        <v>46</v>
      </c>
      <c r="C70" s="15" t="s">
        <v>67</v>
      </c>
      <c r="D70" s="7">
        <v>8</v>
      </c>
      <c r="E70" s="1">
        <f t="shared" si="0"/>
        <v>64</v>
      </c>
      <c r="F70" s="24">
        <v>0.2</v>
      </c>
      <c r="G70" s="7">
        <f t="shared" si="1"/>
        <v>12.8</v>
      </c>
      <c r="H70" s="22">
        <v>25</v>
      </c>
      <c r="I70" s="7">
        <f t="shared" si="2"/>
        <v>320</v>
      </c>
      <c r="L70" s="22"/>
      <c r="M70" s="22"/>
    </row>
    <row r="71" spans="1:13" ht="15" x14ac:dyDescent="0.25">
      <c r="A71" s="5"/>
      <c r="B71" s="4"/>
      <c r="C71" s="15" t="s">
        <v>83</v>
      </c>
      <c r="D71" s="7">
        <v>8</v>
      </c>
      <c r="E71" s="1">
        <f t="shared" si="0"/>
        <v>64</v>
      </c>
      <c r="F71" s="24">
        <v>0.4</v>
      </c>
      <c r="G71" s="7">
        <f t="shared" si="1"/>
        <v>25.6</v>
      </c>
      <c r="H71" s="22">
        <v>21</v>
      </c>
      <c r="I71" s="7">
        <f t="shared" si="2"/>
        <v>537.6</v>
      </c>
      <c r="L71" s="22"/>
      <c r="M71" s="22"/>
    </row>
    <row r="72" spans="1:13" ht="15" x14ac:dyDescent="0.25">
      <c r="A72" s="5"/>
      <c r="B72" s="4"/>
      <c r="C72" s="15" t="s">
        <v>84</v>
      </c>
      <c r="D72" s="7">
        <v>8</v>
      </c>
      <c r="E72" s="1">
        <f t="shared" si="0"/>
        <v>64</v>
      </c>
      <c r="F72" s="24">
        <v>0.4</v>
      </c>
      <c r="G72" s="7">
        <f t="shared" si="1"/>
        <v>25.6</v>
      </c>
      <c r="H72" s="22">
        <v>12</v>
      </c>
      <c r="I72" s="7">
        <f t="shared" si="2"/>
        <v>307.20000000000005</v>
      </c>
    </row>
    <row r="73" spans="1:13" ht="15" x14ac:dyDescent="0.25">
      <c r="A73" s="37" t="s">
        <v>48</v>
      </c>
      <c r="B73" s="27" t="s">
        <v>51</v>
      </c>
      <c r="C73" s="15" t="s">
        <v>67</v>
      </c>
      <c r="D73" s="7">
        <v>1</v>
      </c>
      <c r="E73" s="1">
        <f t="shared" si="0"/>
        <v>8</v>
      </c>
      <c r="F73" s="24">
        <v>0.3</v>
      </c>
      <c r="G73" s="7">
        <f t="shared" si="1"/>
        <v>2.4</v>
      </c>
      <c r="H73" s="22">
        <v>25</v>
      </c>
      <c r="I73" s="7">
        <f t="shared" si="2"/>
        <v>60</v>
      </c>
    </row>
    <row r="74" spans="1:13" s="7" customFormat="1" ht="15" x14ac:dyDescent="0.25">
      <c r="A74" s="5"/>
      <c r="B74" s="4"/>
      <c r="C74" s="15" t="s">
        <v>83</v>
      </c>
      <c r="D74" s="7">
        <v>1</v>
      </c>
      <c r="E74" s="1">
        <f t="shared" si="0"/>
        <v>8</v>
      </c>
      <c r="F74" s="24">
        <v>0.4</v>
      </c>
      <c r="G74" s="7">
        <f t="shared" si="1"/>
        <v>3.2</v>
      </c>
      <c r="H74" s="22">
        <v>21</v>
      </c>
      <c r="I74" s="7">
        <f t="shared" si="2"/>
        <v>67.2</v>
      </c>
      <c r="L74" s="3"/>
      <c r="M74" s="3"/>
    </row>
    <row r="75" spans="1:13" s="7" customFormat="1" ht="15" x14ac:dyDescent="0.25">
      <c r="A75" s="5"/>
      <c r="B75" s="4"/>
      <c r="C75" s="15" t="s">
        <v>84</v>
      </c>
      <c r="D75" s="7">
        <v>1</v>
      </c>
      <c r="E75" s="1">
        <f t="shared" si="0"/>
        <v>8</v>
      </c>
      <c r="F75" s="24">
        <v>0.2</v>
      </c>
      <c r="G75" s="7">
        <f t="shared" si="1"/>
        <v>1.6</v>
      </c>
      <c r="H75" s="22">
        <v>12</v>
      </c>
      <c r="I75" s="7">
        <f t="shared" si="2"/>
        <v>19.200000000000003</v>
      </c>
      <c r="L75" s="3"/>
      <c r="M75" s="3"/>
    </row>
    <row r="76" spans="1:13" s="7" customFormat="1" ht="15" x14ac:dyDescent="0.25">
      <c r="A76" s="64" t="s">
        <v>49</v>
      </c>
      <c r="B76" s="65" t="s">
        <v>137</v>
      </c>
      <c r="C76" s="15" t="s">
        <v>67</v>
      </c>
      <c r="E76" s="1"/>
      <c r="F76" s="24"/>
      <c r="H76" s="22"/>
      <c r="L76" s="3"/>
      <c r="M76" s="3"/>
    </row>
    <row r="77" spans="1:13" s="7" customFormat="1" ht="15" x14ac:dyDescent="0.25">
      <c r="A77" s="37" t="s">
        <v>50</v>
      </c>
      <c r="B77" s="27" t="s">
        <v>52</v>
      </c>
      <c r="C77" s="15" t="s">
        <v>83</v>
      </c>
      <c r="D77" s="7">
        <v>4</v>
      </c>
      <c r="E77" s="1">
        <f t="shared" ref="E77:E115" si="3">8*D77</f>
        <v>32</v>
      </c>
      <c r="F77" s="24">
        <v>0.4</v>
      </c>
      <c r="G77" s="7">
        <f t="shared" ref="G77:G115" si="4">E77*F77</f>
        <v>12.8</v>
      </c>
      <c r="H77" s="22">
        <v>21</v>
      </c>
      <c r="I77" s="7">
        <f t="shared" ref="I77:I115" si="5">H77*G77</f>
        <v>268.8</v>
      </c>
      <c r="L77" s="3"/>
      <c r="M77" s="3"/>
    </row>
    <row r="78" spans="1:13" s="7" customFormat="1" ht="15" x14ac:dyDescent="0.25">
      <c r="A78" s="9"/>
      <c r="B78" s="10"/>
      <c r="C78" s="15" t="s">
        <v>67</v>
      </c>
      <c r="D78" s="7">
        <v>4</v>
      </c>
      <c r="E78" s="1">
        <f t="shared" si="3"/>
        <v>32</v>
      </c>
      <c r="F78" s="24">
        <v>0.3</v>
      </c>
      <c r="G78" s="7">
        <f t="shared" si="4"/>
        <v>9.6</v>
      </c>
      <c r="H78" s="22">
        <v>25</v>
      </c>
      <c r="I78" s="7">
        <f t="shared" si="5"/>
        <v>240</v>
      </c>
      <c r="L78" s="3"/>
      <c r="M78" s="3"/>
    </row>
    <row r="79" spans="1:13" ht="15" x14ac:dyDescent="0.25">
      <c r="A79" s="9"/>
      <c r="B79" s="10"/>
      <c r="C79" s="15" t="s">
        <v>92</v>
      </c>
      <c r="D79" s="7">
        <v>4</v>
      </c>
      <c r="E79" s="1">
        <f t="shared" si="3"/>
        <v>32</v>
      </c>
      <c r="F79" s="24">
        <v>0.1</v>
      </c>
      <c r="G79" s="7">
        <f t="shared" si="4"/>
        <v>3.2</v>
      </c>
      <c r="H79" s="22">
        <v>21</v>
      </c>
      <c r="I79" s="7">
        <f t="shared" si="5"/>
        <v>67.2</v>
      </c>
      <c r="L79" s="7"/>
      <c r="M79" s="7"/>
    </row>
    <row r="80" spans="1:13" ht="15" x14ac:dyDescent="0.25">
      <c r="A80" s="9"/>
      <c r="B80" s="10"/>
      <c r="C80" s="15" t="s">
        <v>68</v>
      </c>
      <c r="D80" s="7">
        <v>4</v>
      </c>
      <c r="E80" s="1">
        <f t="shared" si="3"/>
        <v>32</v>
      </c>
      <c r="F80" s="24">
        <v>0.1</v>
      </c>
      <c r="G80" s="7">
        <f t="shared" si="4"/>
        <v>3.2</v>
      </c>
      <c r="H80" s="22">
        <v>21</v>
      </c>
      <c r="I80" s="7">
        <f t="shared" si="5"/>
        <v>67.2</v>
      </c>
      <c r="L80" s="7"/>
      <c r="M80" s="7"/>
    </row>
    <row r="81" spans="1:13" ht="15" x14ac:dyDescent="0.25">
      <c r="A81" s="5"/>
      <c r="B81" s="4"/>
      <c r="C81" s="15" t="s">
        <v>84</v>
      </c>
      <c r="D81" s="7">
        <v>4</v>
      </c>
      <c r="E81" s="1">
        <f t="shared" si="3"/>
        <v>32</v>
      </c>
      <c r="F81" s="24">
        <v>0.1</v>
      </c>
      <c r="G81" s="7">
        <f t="shared" si="4"/>
        <v>3.2</v>
      </c>
      <c r="H81" s="22">
        <v>12</v>
      </c>
      <c r="I81" s="7">
        <f t="shared" si="5"/>
        <v>38.400000000000006</v>
      </c>
      <c r="L81" s="7"/>
      <c r="M81" s="7"/>
    </row>
    <row r="82" spans="1:13" ht="15" x14ac:dyDescent="0.25">
      <c r="A82" s="37" t="s">
        <v>55</v>
      </c>
      <c r="B82" s="27" t="s">
        <v>53</v>
      </c>
      <c r="C82" s="15" t="s">
        <v>67</v>
      </c>
      <c r="D82" s="7">
        <v>1</v>
      </c>
      <c r="E82" s="1">
        <f t="shared" si="3"/>
        <v>8</v>
      </c>
      <c r="F82" s="24">
        <v>0.3</v>
      </c>
      <c r="G82" s="7">
        <f t="shared" si="4"/>
        <v>2.4</v>
      </c>
      <c r="H82" s="22">
        <v>25</v>
      </c>
      <c r="I82" s="7">
        <f t="shared" si="5"/>
        <v>60</v>
      </c>
      <c r="L82" s="7"/>
      <c r="M82" s="7"/>
    </row>
    <row r="83" spans="1:13" ht="15" x14ac:dyDescent="0.25">
      <c r="A83" s="5"/>
      <c r="B83" s="4"/>
      <c r="C83" s="15" t="s">
        <v>83</v>
      </c>
      <c r="D83" s="7">
        <v>1</v>
      </c>
      <c r="E83" s="1">
        <f t="shared" si="3"/>
        <v>8</v>
      </c>
      <c r="F83" s="24">
        <v>0.4</v>
      </c>
      <c r="G83" s="7">
        <f t="shared" si="4"/>
        <v>3.2</v>
      </c>
      <c r="H83" s="22">
        <v>21</v>
      </c>
      <c r="I83" s="7">
        <f t="shared" si="5"/>
        <v>67.2</v>
      </c>
    </row>
    <row r="84" spans="1:13" ht="15" x14ac:dyDescent="0.25">
      <c r="A84" s="5"/>
      <c r="B84" s="4"/>
      <c r="C84" s="15" t="s">
        <v>84</v>
      </c>
      <c r="D84" s="7">
        <v>1</v>
      </c>
      <c r="E84" s="1">
        <f t="shared" si="3"/>
        <v>8</v>
      </c>
      <c r="F84" s="24">
        <v>0.3</v>
      </c>
      <c r="G84" s="7">
        <f t="shared" si="4"/>
        <v>2.4</v>
      </c>
      <c r="H84" s="22">
        <v>12</v>
      </c>
      <c r="I84" s="7">
        <f t="shared" si="5"/>
        <v>28.799999999999997</v>
      </c>
    </row>
    <row r="85" spans="1:13" ht="15" x14ac:dyDescent="0.25">
      <c r="A85" s="37" t="s">
        <v>138</v>
      </c>
      <c r="B85" s="27" t="s">
        <v>56</v>
      </c>
      <c r="C85" s="15" t="s">
        <v>67</v>
      </c>
      <c r="D85" s="7">
        <v>1</v>
      </c>
      <c r="E85" s="1">
        <f t="shared" si="3"/>
        <v>8</v>
      </c>
      <c r="F85" s="24">
        <v>0.3</v>
      </c>
      <c r="G85" s="7">
        <f t="shared" si="4"/>
        <v>2.4</v>
      </c>
      <c r="H85" s="22">
        <v>25</v>
      </c>
      <c r="I85" s="7">
        <f t="shared" si="5"/>
        <v>60</v>
      </c>
    </row>
    <row r="86" spans="1:13" ht="15" x14ac:dyDescent="0.25">
      <c r="A86" s="5"/>
      <c r="B86" s="4"/>
      <c r="C86" s="15" t="s">
        <v>83</v>
      </c>
      <c r="D86" s="7">
        <v>1</v>
      </c>
      <c r="E86" s="1">
        <f t="shared" si="3"/>
        <v>8</v>
      </c>
      <c r="F86" s="24">
        <v>0.4</v>
      </c>
      <c r="G86" s="7">
        <f t="shared" si="4"/>
        <v>3.2</v>
      </c>
      <c r="H86" s="22">
        <v>21</v>
      </c>
      <c r="I86" s="7">
        <f t="shared" si="5"/>
        <v>67.2</v>
      </c>
    </row>
    <row r="87" spans="1:13" ht="15" x14ac:dyDescent="0.25">
      <c r="A87" s="5"/>
      <c r="B87" s="4"/>
      <c r="C87" s="15" t="s">
        <v>84</v>
      </c>
      <c r="D87" s="7">
        <v>1</v>
      </c>
      <c r="E87" s="1">
        <f t="shared" si="3"/>
        <v>8</v>
      </c>
      <c r="F87" s="24">
        <v>0.2</v>
      </c>
      <c r="G87" s="7">
        <f t="shared" si="4"/>
        <v>1.6</v>
      </c>
      <c r="H87" s="22">
        <v>12</v>
      </c>
      <c r="I87" s="7">
        <f t="shared" si="5"/>
        <v>19.200000000000003</v>
      </c>
    </row>
    <row r="88" spans="1:13" ht="15" x14ac:dyDescent="0.25">
      <c r="A88" s="5"/>
      <c r="B88" s="4"/>
      <c r="C88" s="15"/>
      <c r="D88" s="7"/>
      <c r="E88" s="1"/>
      <c r="F88" s="24"/>
      <c r="G88" s="7"/>
      <c r="H88" s="22"/>
      <c r="I88" s="7"/>
    </row>
    <row r="89" spans="1:13" ht="15" x14ac:dyDescent="0.25">
      <c r="A89" s="41">
        <v>3</v>
      </c>
      <c r="B89" s="42" t="s">
        <v>70</v>
      </c>
      <c r="C89" s="15" t="s">
        <v>83</v>
      </c>
      <c r="D89" s="7">
        <v>40</v>
      </c>
      <c r="E89" s="1">
        <f t="shared" si="3"/>
        <v>320</v>
      </c>
      <c r="F89" s="24">
        <v>0.1</v>
      </c>
      <c r="G89" s="7">
        <f t="shared" si="4"/>
        <v>32</v>
      </c>
      <c r="H89" s="22">
        <v>21</v>
      </c>
      <c r="I89" s="7">
        <f t="shared" si="5"/>
        <v>672</v>
      </c>
    </row>
    <row r="90" spans="1:13" ht="15" x14ac:dyDescent="0.25">
      <c r="A90" s="5"/>
      <c r="B90" s="4"/>
      <c r="C90" s="15" t="s">
        <v>101</v>
      </c>
      <c r="D90" s="7">
        <v>40</v>
      </c>
      <c r="E90" s="1">
        <f t="shared" si="3"/>
        <v>320</v>
      </c>
      <c r="F90" s="24">
        <v>1</v>
      </c>
      <c r="G90" s="7">
        <f t="shared" si="4"/>
        <v>320</v>
      </c>
      <c r="H90" s="22"/>
      <c r="I90" s="7">
        <f t="shared" si="5"/>
        <v>0</v>
      </c>
    </row>
    <row r="91" spans="1:13" ht="15" x14ac:dyDescent="0.25">
      <c r="A91" s="43" t="s">
        <v>62</v>
      </c>
      <c r="B91" s="30" t="s">
        <v>63</v>
      </c>
      <c r="C91" s="15" t="s">
        <v>83</v>
      </c>
      <c r="D91" s="7">
        <v>40</v>
      </c>
      <c r="E91" s="1">
        <f t="shared" si="3"/>
        <v>320</v>
      </c>
      <c r="F91" s="24">
        <v>0.7</v>
      </c>
      <c r="G91" s="7">
        <f t="shared" si="4"/>
        <v>224</v>
      </c>
      <c r="H91" s="22">
        <v>21</v>
      </c>
      <c r="I91" s="7">
        <f t="shared" si="5"/>
        <v>4704</v>
      </c>
    </row>
    <row r="92" spans="1:13" ht="15" x14ac:dyDescent="0.25">
      <c r="A92" s="9"/>
      <c r="B92" s="10"/>
      <c r="C92" s="15" t="s">
        <v>67</v>
      </c>
      <c r="D92" s="7">
        <v>40</v>
      </c>
      <c r="E92" s="1">
        <f t="shared" si="3"/>
        <v>320</v>
      </c>
      <c r="F92" s="24">
        <v>0.3</v>
      </c>
      <c r="G92" s="7">
        <f t="shared" si="4"/>
        <v>96</v>
      </c>
      <c r="H92" s="22">
        <v>25</v>
      </c>
      <c r="I92" s="7">
        <f t="shared" si="5"/>
        <v>2400</v>
      </c>
    </row>
    <row r="93" spans="1:13" ht="15" x14ac:dyDescent="0.25">
      <c r="A93" s="27" t="s">
        <v>139</v>
      </c>
      <c r="B93" s="26" t="s">
        <v>140</v>
      </c>
      <c r="C93" s="15"/>
      <c r="D93" s="7"/>
      <c r="E93" s="1"/>
      <c r="F93" s="24"/>
      <c r="G93" s="7"/>
      <c r="H93" s="22"/>
      <c r="I93" s="7"/>
    </row>
    <row r="94" spans="1:13" ht="15" x14ac:dyDescent="0.25">
      <c r="A94" s="9"/>
      <c r="B94" s="10"/>
      <c r="C94" s="15"/>
      <c r="D94" s="7"/>
      <c r="E94" s="1"/>
      <c r="F94" s="24"/>
      <c r="G94" s="7"/>
      <c r="H94" s="22"/>
      <c r="I94" s="7"/>
    </row>
    <row r="95" spans="1:13" ht="15" x14ac:dyDescent="0.25">
      <c r="A95" s="41">
        <v>4</v>
      </c>
      <c r="B95" s="42" t="s">
        <v>41</v>
      </c>
      <c r="C95" s="15" t="s">
        <v>68</v>
      </c>
      <c r="D95" s="7">
        <v>8</v>
      </c>
      <c r="E95" s="1">
        <f t="shared" si="3"/>
        <v>64</v>
      </c>
      <c r="F95" s="24">
        <v>0.1</v>
      </c>
      <c r="G95" s="7">
        <f t="shared" si="4"/>
        <v>6.4</v>
      </c>
      <c r="H95" s="22">
        <v>21</v>
      </c>
      <c r="I95" s="7">
        <f t="shared" si="5"/>
        <v>134.4</v>
      </c>
    </row>
    <row r="96" spans="1:13" ht="15" x14ac:dyDescent="0.25">
      <c r="A96" s="5"/>
      <c r="B96" s="4"/>
      <c r="C96" s="15" t="s">
        <v>88</v>
      </c>
      <c r="D96" s="7">
        <v>8</v>
      </c>
      <c r="E96" s="1">
        <f t="shared" si="3"/>
        <v>64</v>
      </c>
      <c r="F96" s="24">
        <v>0.1</v>
      </c>
      <c r="G96" s="7">
        <f t="shared" si="4"/>
        <v>6.4</v>
      </c>
      <c r="H96" s="22">
        <v>12</v>
      </c>
      <c r="I96" s="7">
        <f t="shared" si="5"/>
        <v>76.800000000000011</v>
      </c>
    </row>
    <row r="97" spans="1:9" ht="15" x14ac:dyDescent="0.25">
      <c r="A97" s="43" t="s">
        <v>30</v>
      </c>
      <c r="B97" s="30" t="s">
        <v>73</v>
      </c>
      <c r="C97" s="15" t="s">
        <v>68</v>
      </c>
      <c r="D97" s="7">
        <v>1</v>
      </c>
      <c r="E97" s="1">
        <f t="shared" si="3"/>
        <v>8</v>
      </c>
      <c r="F97" s="24">
        <v>0.2</v>
      </c>
      <c r="G97" s="7">
        <f t="shared" si="4"/>
        <v>1.6</v>
      </c>
      <c r="H97" s="22">
        <v>21</v>
      </c>
      <c r="I97" s="7">
        <f t="shared" si="5"/>
        <v>33.6</v>
      </c>
    </row>
    <row r="98" spans="1:9" ht="15" x14ac:dyDescent="0.25">
      <c r="A98" s="5"/>
      <c r="B98" s="4"/>
      <c r="C98" s="15" t="s">
        <v>88</v>
      </c>
      <c r="D98" s="7">
        <v>1</v>
      </c>
      <c r="E98" s="1">
        <f t="shared" si="3"/>
        <v>8</v>
      </c>
      <c r="F98" s="24">
        <v>0.2</v>
      </c>
      <c r="G98" s="7">
        <f t="shared" si="4"/>
        <v>1.6</v>
      </c>
      <c r="H98" s="22">
        <v>12</v>
      </c>
      <c r="I98" s="7">
        <f t="shared" si="5"/>
        <v>19.200000000000003</v>
      </c>
    </row>
    <row r="99" spans="1:9" ht="15" x14ac:dyDescent="0.25">
      <c r="A99" s="43" t="s">
        <v>31</v>
      </c>
      <c r="B99" s="30" t="s">
        <v>26</v>
      </c>
      <c r="C99" s="15" t="s">
        <v>68</v>
      </c>
      <c r="D99" s="7">
        <v>5</v>
      </c>
      <c r="E99" s="1">
        <f t="shared" si="3"/>
        <v>40</v>
      </c>
      <c r="F99" s="24">
        <v>0.5</v>
      </c>
      <c r="G99" s="7">
        <f t="shared" si="4"/>
        <v>20</v>
      </c>
      <c r="H99" s="22">
        <v>21</v>
      </c>
      <c r="I99" s="7">
        <f t="shared" si="5"/>
        <v>420</v>
      </c>
    </row>
    <row r="100" spans="1:9" ht="15" x14ac:dyDescent="0.25">
      <c r="A100" s="5"/>
      <c r="B100" s="4"/>
      <c r="C100" s="15" t="s">
        <v>88</v>
      </c>
      <c r="D100" s="7">
        <v>5</v>
      </c>
      <c r="E100" s="1">
        <f t="shared" si="3"/>
        <v>40</v>
      </c>
      <c r="F100" s="24">
        <v>0.5</v>
      </c>
      <c r="G100" s="7">
        <f t="shared" si="4"/>
        <v>20</v>
      </c>
      <c r="H100" s="22">
        <v>12</v>
      </c>
      <c r="I100" s="7">
        <f t="shared" si="5"/>
        <v>240</v>
      </c>
    </row>
    <row r="101" spans="1:9" ht="15" x14ac:dyDescent="0.25">
      <c r="A101" s="43" t="s">
        <v>32</v>
      </c>
      <c r="B101" s="30" t="s">
        <v>44</v>
      </c>
      <c r="C101" s="15" t="s">
        <v>68</v>
      </c>
      <c r="D101" s="7">
        <v>1</v>
      </c>
      <c r="E101" s="1">
        <f t="shared" si="3"/>
        <v>8</v>
      </c>
      <c r="F101" s="24">
        <v>0.2</v>
      </c>
      <c r="G101" s="7">
        <f t="shared" si="4"/>
        <v>1.6</v>
      </c>
      <c r="H101" s="22">
        <v>21</v>
      </c>
      <c r="I101" s="7">
        <f t="shared" si="5"/>
        <v>33.6</v>
      </c>
    </row>
    <row r="102" spans="1:9" ht="15" x14ac:dyDescent="0.25">
      <c r="A102" s="5"/>
      <c r="B102" s="4"/>
      <c r="C102" s="15" t="s">
        <v>88</v>
      </c>
      <c r="D102" s="7">
        <v>1</v>
      </c>
      <c r="E102" s="1">
        <f t="shared" si="3"/>
        <v>8</v>
      </c>
      <c r="F102" s="24">
        <v>0.2</v>
      </c>
      <c r="G102" s="7">
        <f t="shared" si="4"/>
        <v>1.6</v>
      </c>
      <c r="H102" s="22">
        <v>12</v>
      </c>
      <c r="I102" s="7">
        <f t="shared" si="5"/>
        <v>19.200000000000003</v>
      </c>
    </row>
    <row r="103" spans="1:9" ht="15" x14ac:dyDescent="0.25">
      <c r="A103" s="5"/>
      <c r="B103" s="4"/>
      <c r="C103" s="15"/>
      <c r="D103" s="7"/>
      <c r="E103" s="1"/>
      <c r="G103" s="7"/>
      <c r="H103" s="22"/>
      <c r="I103" s="7"/>
    </row>
    <row r="104" spans="1:9" ht="15" x14ac:dyDescent="0.25">
      <c r="A104" s="41">
        <v>5</v>
      </c>
      <c r="B104" s="42" t="s">
        <v>57</v>
      </c>
      <c r="C104" s="15" t="s">
        <v>83</v>
      </c>
      <c r="D104" s="29">
        <v>4</v>
      </c>
      <c r="E104" s="1">
        <f t="shared" si="3"/>
        <v>32</v>
      </c>
      <c r="F104" s="24">
        <v>0.6</v>
      </c>
      <c r="G104" s="7">
        <f t="shared" si="4"/>
        <v>19.2</v>
      </c>
      <c r="H104" s="22">
        <v>21</v>
      </c>
      <c r="I104" s="7">
        <f t="shared" si="5"/>
        <v>403.2</v>
      </c>
    </row>
    <row r="105" spans="1:9" ht="15" x14ac:dyDescent="0.25">
      <c r="A105" s="5"/>
      <c r="B105" s="4"/>
      <c r="C105" s="15" t="s">
        <v>84</v>
      </c>
      <c r="D105" s="29">
        <v>4</v>
      </c>
      <c r="E105" s="1">
        <f t="shared" si="3"/>
        <v>32</v>
      </c>
      <c r="F105" s="24">
        <v>0.8</v>
      </c>
      <c r="G105" s="7">
        <f t="shared" si="4"/>
        <v>25.6</v>
      </c>
      <c r="H105" s="22">
        <v>12</v>
      </c>
      <c r="I105" s="7">
        <f t="shared" si="5"/>
        <v>307.20000000000005</v>
      </c>
    </row>
    <row r="106" spans="1:9" ht="15" x14ac:dyDescent="0.25">
      <c r="A106" s="5"/>
      <c r="B106" s="4"/>
      <c r="C106" s="15" t="s">
        <v>101</v>
      </c>
      <c r="D106" s="29">
        <v>4</v>
      </c>
      <c r="E106" s="1">
        <f t="shared" si="3"/>
        <v>32</v>
      </c>
      <c r="F106" s="24">
        <v>0.6</v>
      </c>
      <c r="G106" s="7">
        <f t="shared" si="4"/>
        <v>19.2</v>
      </c>
      <c r="H106" s="22"/>
      <c r="I106" s="7">
        <f t="shared" si="5"/>
        <v>0</v>
      </c>
    </row>
    <row r="107" spans="1:9" ht="15" x14ac:dyDescent="0.25">
      <c r="A107" s="43" t="s">
        <v>58</v>
      </c>
      <c r="B107" s="30" t="s">
        <v>60</v>
      </c>
      <c r="C107" s="15" t="s">
        <v>83</v>
      </c>
      <c r="D107" s="7">
        <v>2</v>
      </c>
      <c r="E107" s="1">
        <f t="shared" si="3"/>
        <v>16</v>
      </c>
      <c r="F107" s="24">
        <v>0.4</v>
      </c>
      <c r="G107" s="7">
        <f t="shared" si="4"/>
        <v>6.4</v>
      </c>
      <c r="H107" s="22">
        <v>21</v>
      </c>
      <c r="I107" s="7">
        <f t="shared" si="5"/>
        <v>134.4</v>
      </c>
    </row>
    <row r="108" spans="1:9" ht="15" x14ac:dyDescent="0.25">
      <c r="A108" s="5"/>
      <c r="B108" s="4"/>
      <c r="C108" s="15" t="s">
        <v>84</v>
      </c>
      <c r="D108" s="29">
        <v>2</v>
      </c>
      <c r="E108" s="1">
        <f t="shared" si="3"/>
        <v>16</v>
      </c>
      <c r="F108" s="24">
        <v>0.2</v>
      </c>
      <c r="G108" s="7">
        <f t="shared" si="4"/>
        <v>3.2</v>
      </c>
      <c r="H108" s="22">
        <v>12</v>
      </c>
      <c r="I108" s="7">
        <f t="shared" si="5"/>
        <v>38.400000000000006</v>
      </c>
    </row>
    <row r="109" spans="1:9" ht="15" x14ac:dyDescent="0.25">
      <c r="A109" s="5"/>
      <c r="B109" s="4"/>
      <c r="C109" s="15" t="s">
        <v>101</v>
      </c>
      <c r="D109" s="29">
        <v>2</v>
      </c>
      <c r="E109" s="1">
        <f t="shared" si="3"/>
        <v>16</v>
      </c>
      <c r="F109" s="24">
        <v>0.4</v>
      </c>
      <c r="G109" s="7">
        <f t="shared" si="4"/>
        <v>6.4</v>
      </c>
      <c r="H109" s="22"/>
      <c r="I109" s="7">
        <f t="shared" si="5"/>
        <v>0</v>
      </c>
    </row>
    <row r="110" spans="1:9" ht="15" x14ac:dyDescent="0.25">
      <c r="A110" s="43" t="s">
        <v>59</v>
      </c>
      <c r="B110" s="30" t="s">
        <v>61</v>
      </c>
      <c r="C110" s="15" t="s">
        <v>83</v>
      </c>
      <c r="D110" s="7">
        <v>2</v>
      </c>
      <c r="E110" s="1">
        <f t="shared" si="3"/>
        <v>16</v>
      </c>
      <c r="F110" s="24">
        <v>0.4</v>
      </c>
      <c r="G110" s="7">
        <f t="shared" si="4"/>
        <v>6.4</v>
      </c>
      <c r="H110" s="22">
        <v>21</v>
      </c>
      <c r="I110" s="7">
        <f t="shared" si="5"/>
        <v>134.4</v>
      </c>
    </row>
    <row r="111" spans="1:9" ht="15" x14ac:dyDescent="0.25">
      <c r="A111" s="5"/>
      <c r="B111" s="4"/>
      <c r="C111" s="15" t="s">
        <v>84</v>
      </c>
      <c r="D111" s="29">
        <v>2</v>
      </c>
      <c r="E111" s="1">
        <f t="shared" si="3"/>
        <v>16</v>
      </c>
      <c r="F111" s="24">
        <v>0.2</v>
      </c>
      <c r="G111" s="7">
        <f t="shared" si="4"/>
        <v>3.2</v>
      </c>
      <c r="H111" s="22">
        <v>12</v>
      </c>
      <c r="I111" s="7">
        <f t="shared" si="5"/>
        <v>38.400000000000006</v>
      </c>
    </row>
    <row r="112" spans="1:9" ht="15" x14ac:dyDescent="0.25">
      <c r="A112" s="5"/>
      <c r="B112" s="4"/>
      <c r="C112" s="15" t="s">
        <v>101</v>
      </c>
      <c r="D112" s="29">
        <v>2</v>
      </c>
      <c r="E112" s="1">
        <f t="shared" si="3"/>
        <v>16</v>
      </c>
      <c r="F112" s="24">
        <v>0.4</v>
      </c>
      <c r="G112" s="7">
        <f t="shared" si="4"/>
        <v>6.4</v>
      </c>
      <c r="H112" s="22"/>
      <c r="I112" s="7">
        <f t="shared" si="5"/>
        <v>0</v>
      </c>
    </row>
    <row r="113" spans="1:9" ht="15" x14ac:dyDescent="0.25">
      <c r="A113" s="5"/>
      <c r="B113" s="4"/>
      <c r="C113" s="15"/>
      <c r="D113" s="29"/>
      <c r="E113" s="1"/>
      <c r="G113" s="7"/>
      <c r="H113" s="22"/>
      <c r="I113" s="7"/>
    </row>
    <row r="114" spans="1:9" ht="15" x14ac:dyDescent="0.25">
      <c r="A114" s="41">
        <v>6</v>
      </c>
      <c r="B114" s="42" t="s">
        <v>19</v>
      </c>
      <c r="C114" s="15" t="s">
        <v>67</v>
      </c>
      <c r="D114" s="7">
        <v>6</v>
      </c>
      <c r="E114" s="1">
        <f t="shared" si="3"/>
        <v>48</v>
      </c>
      <c r="F114" s="24">
        <v>0.1</v>
      </c>
      <c r="G114" s="7">
        <f t="shared" si="4"/>
        <v>4.8000000000000007</v>
      </c>
      <c r="H114" s="22">
        <v>25</v>
      </c>
      <c r="I114" s="7">
        <f t="shared" si="5"/>
        <v>120.00000000000001</v>
      </c>
    </row>
    <row r="115" spans="1:9" ht="15" x14ac:dyDescent="0.25">
      <c r="A115" s="43" t="s">
        <v>18</v>
      </c>
      <c r="B115" s="30" t="s">
        <v>20</v>
      </c>
      <c r="C115" s="15" t="s">
        <v>67</v>
      </c>
      <c r="D115" s="7">
        <v>6</v>
      </c>
      <c r="E115" s="1">
        <f t="shared" si="3"/>
        <v>48</v>
      </c>
      <c r="F115" s="24">
        <v>0.9</v>
      </c>
      <c r="G115" s="7">
        <f t="shared" si="4"/>
        <v>43.2</v>
      </c>
      <c r="H115" s="22">
        <v>25</v>
      </c>
      <c r="I115" s="7">
        <f t="shared" si="5"/>
        <v>1080</v>
      </c>
    </row>
    <row r="116" spans="1:9" x14ac:dyDescent="0.35">
      <c r="A116" s="11"/>
      <c r="C116" s="17"/>
    </row>
    <row r="117" spans="1:9" x14ac:dyDescent="0.35">
      <c r="C117" s="17"/>
      <c r="F117" s="49" t="s">
        <v>104</v>
      </c>
      <c r="G117" s="50">
        <f>SUM(G4:G115)</f>
        <v>3359.1999999999985</v>
      </c>
      <c r="H117" s="50"/>
      <c r="I117" s="51">
        <f>SUM(I4:I115)</f>
        <v>63060.799999999974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Maganto Pascual</dc:creator>
  <cp:lastModifiedBy>alvaro saez contreras</cp:lastModifiedBy>
  <dcterms:created xsi:type="dcterms:W3CDTF">2016-10-29T09:10:17Z</dcterms:created>
  <dcterms:modified xsi:type="dcterms:W3CDTF">2017-01-11T20:44:32Z</dcterms:modified>
</cp:coreProperties>
</file>