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925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Maria\Dropbox\Proyecto Gestión\"/>
    </mc:Choice>
  </mc:AlternateContent>
  <bookViews>
    <workbookView xWindow="0" yWindow="0" windowWidth="23040" windowHeight="9084"/>
  </bookViews>
  <sheets>
    <sheet name="Hoja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8" i="1" l="1"/>
  <c r="D21" i="1"/>
  <c r="D27" i="1"/>
  <c r="D26" i="1" l="1"/>
  <c r="D25" i="1"/>
  <c r="D24" i="1"/>
  <c r="D23" i="1"/>
  <c r="D22" i="1"/>
  <c r="D16" i="1"/>
  <c r="D20" i="1"/>
  <c r="D19" i="1"/>
  <c r="D18" i="1"/>
  <c r="D17" i="1"/>
  <c r="D5" i="1"/>
  <c r="D15" i="1"/>
  <c r="D14" i="1"/>
  <c r="D13" i="1"/>
  <c r="D12" i="1"/>
  <c r="D11" i="1"/>
  <c r="D10" i="1"/>
  <c r="D9" i="1"/>
  <c r="D8" i="1"/>
  <c r="D7" i="1"/>
  <c r="D6" i="1"/>
  <c r="D4" i="1"/>
  <c r="D2" i="1"/>
  <c r="D3" i="1"/>
</calcChain>
</file>

<file path=xl/sharedStrings.xml><?xml version="1.0" encoding="utf-8"?>
<sst xmlns="http://schemas.openxmlformats.org/spreadsheetml/2006/main" count="74" uniqueCount="60">
  <si>
    <t>ID</t>
  </si>
  <si>
    <t>Tarea</t>
  </si>
  <si>
    <t>Comienzo</t>
  </si>
  <si>
    <t>Duración</t>
  </si>
  <si>
    <t>Fin</t>
  </si>
  <si>
    <t>Inicio del proyecto</t>
  </si>
  <si>
    <t>Planificación</t>
  </si>
  <si>
    <t>2.1</t>
  </si>
  <si>
    <t>Acta de constitución del proyecto</t>
  </si>
  <si>
    <t>2.2</t>
  </si>
  <si>
    <t>Plan para la dirección del proyecto</t>
  </si>
  <si>
    <t>1.1</t>
  </si>
  <si>
    <t>Plan de gestión del alcance</t>
  </si>
  <si>
    <t>2.3</t>
  </si>
  <si>
    <t>Plan de gestión de requisitos</t>
  </si>
  <si>
    <t>2.4</t>
  </si>
  <si>
    <t>Plan de gestión del cronograma</t>
  </si>
  <si>
    <t>2.5</t>
  </si>
  <si>
    <t>Plan de gestión de los costes</t>
  </si>
  <si>
    <t>2.6</t>
  </si>
  <si>
    <t>Plan de gestión de recursos humanos</t>
  </si>
  <si>
    <t>2.7</t>
  </si>
  <si>
    <t>Plan de la gestión de la comunicación</t>
  </si>
  <si>
    <t>2.8</t>
  </si>
  <si>
    <t>Plan de la gestión de los riesgos</t>
  </si>
  <si>
    <t>2.9</t>
  </si>
  <si>
    <t>Plan de gestión de las adquisiciones</t>
  </si>
  <si>
    <t>2.10</t>
  </si>
  <si>
    <t>Plan de gestión de los interesados</t>
  </si>
  <si>
    <t>Diseño de la red</t>
  </si>
  <si>
    <t>3.1</t>
  </si>
  <si>
    <t>Estudio demográfico</t>
  </si>
  <si>
    <t>3.2</t>
  </si>
  <si>
    <t>Estudio de despliegue previo de Telefónica</t>
  </si>
  <si>
    <t>3.3</t>
  </si>
  <si>
    <t>Estudio de los materiales a adquirir</t>
  </si>
  <si>
    <t>3.4</t>
  </si>
  <si>
    <t>Adquisición de materiales</t>
  </si>
  <si>
    <t>Pruebas</t>
  </si>
  <si>
    <t>6.1</t>
  </si>
  <si>
    <t>Proceso de cierre</t>
  </si>
  <si>
    <t>Personal asignado</t>
  </si>
  <si>
    <t>Plan para el despliegue LTE en Alcalá</t>
  </si>
  <si>
    <t>Project Manager</t>
  </si>
  <si>
    <t>Encargado de planificación 1</t>
  </si>
  <si>
    <t>Encargado de planificación 2</t>
  </si>
  <si>
    <t>Medidas y ajustes de equipos</t>
  </si>
  <si>
    <t>Obtención de permisos</t>
  </si>
  <si>
    <t>Pruebas de cobertura</t>
  </si>
  <si>
    <t>Generación de informe técnico económico</t>
  </si>
  <si>
    <t>3.5</t>
  </si>
  <si>
    <t>Plan para la mimetización estaciones base</t>
  </si>
  <si>
    <t>Encargado demográfico</t>
  </si>
  <si>
    <t>Especialista de equipos</t>
  </si>
  <si>
    <t>Project Manager y equipo planificación</t>
  </si>
  <si>
    <t>3.6</t>
  </si>
  <si>
    <t>3.7</t>
  </si>
  <si>
    <t>5.1</t>
  </si>
  <si>
    <t>Encargado de pruebas</t>
  </si>
  <si>
    <t>Diseñar red de acceso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</si>
</sst>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" fontId="0" fillId="0" borderId="0" xfId="0" applyNumberFormat="1"/>
    <xf numFmtId="0" fontId="1" fillId="2" borderId="0" xfId="0" applyFont="1" applyFill="1"/>
    <xf numFmtId="0" fontId="1" fillId="0" borderId="0" xfId="0" applyFont="1"/>
    <xf numFmtId="16" fontId="1" fillId="0" borderId="0" xfId="0" applyNumberFormat="1" applyFont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1" fillId="0" borderId="0" xfId="0" applyNumberFormat="1" applyFont="1"/>
    <xf numFmtId="16" fontId="0" fillId="0" borderId="0" xfId="0" applyNumberFormat="1" applyFont="1"/>
    <xf numFmtId="0" fontId="0" fillId="0" borderId="0" xfId="0" applyFon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Hoja1!$C$1</c:f>
              <c:strCache>
                <c:ptCount val="1"/>
                <c:pt idx="0">
                  <c:v>Comienzo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Hoja1!$B$2:$B$28</c:f>
              <c:strCache>
                <c:ptCount val="27"/>
                <c:pt idx="0">
                  <c:v>Plan para el despliegue LTE en Alcalá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Planificación</c:v>
                </c:pt>
                <c:pt idx="4">
                  <c:v>Plan para la dirección del proyecto</c:v>
                </c:pt>
                <c:pt idx="5">
                  <c:v>Plan de gestión del alcance</c:v>
                </c:pt>
                <c:pt idx="6">
                  <c:v>Plan de gestión de requisitos</c:v>
                </c:pt>
                <c:pt idx="7">
                  <c:v>Plan de gestión del cronograma</c:v>
                </c:pt>
                <c:pt idx="8">
                  <c:v>Plan de gestión de los costes</c:v>
                </c:pt>
                <c:pt idx="9">
                  <c:v>Plan de gestión de recursos humanos</c:v>
                </c:pt>
                <c:pt idx="10">
                  <c:v>Plan de la gestión de la comunicación</c:v>
                </c:pt>
                <c:pt idx="11">
                  <c:v>Plan de la gestión de los riesgos</c:v>
                </c:pt>
                <c:pt idx="12">
                  <c:v>Plan de gestión de las adquisiciones</c:v>
                </c:pt>
                <c:pt idx="13">
                  <c:v>Plan de gestión de los interesados</c:v>
                </c:pt>
                <c:pt idx="14">
                  <c:v>Diseño de la red</c:v>
                </c:pt>
                <c:pt idx="15">
                  <c:v>Estudio demográfico</c:v>
                </c:pt>
                <c:pt idx="16">
                  <c:v>Estudio de despliegue previo de Telefónica</c:v>
                </c:pt>
                <c:pt idx="17">
                  <c:v>Estudio de los materiales a adquirir</c:v>
                </c:pt>
                <c:pt idx="18">
                  <c:v>Diseñar red de acceso</c:v>
                </c:pt>
                <c:pt idx="19">
                  <c:v>Plan para la mimetización estaciones base</c:v>
                </c:pt>
                <c:pt idx="20">
                  <c:v>Adquisición de materiales</c:v>
                </c:pt>
                <c:pt idx="21">
                  <c:v>Medidas y ajustes de equipos</c:v>
                </c:pt>
                <c:pt idx="22">
                  <c:v>Obtención de permisos</c:v>
                </c:pt>
                <c:pt idx="23">
                  <c:v>Pruebas</c:v>
                </c:pt>
                <c:pt idx="24">
                  <c:v>Pruebas de cobertura</c:v>
                </c:pt>
                <c:pt idx="25">
                  <c:v>Proceso de cierre</c:v>
                </c:pt>
                <c:pt idx="26">
                  <c:v>Generación de informe técnico económico</c:v>
                </c:pt>
              </c:strCache>
            </c:strRef>
          </c:cat>
          <c:val>
            <c:numRef>
              <c:f>Hoja1!$C$2:$C$28</c:f>
              <c:numCache>
                <c:formatCode>d\-mmm</c:formatCode>
                <c:ptCount val="27"/>
                <c:pt idx="0">
                  <c:v>42646</c:v>
                </c:pt>
                <c:pt idx="1">
                  <c:v>42646</c:v>
                </c:pt>
                <c:pt idx="2">
                  <c:v>42648</c:v>
                </c:pt>
                <c:pt idx="3">
                  <c:v>42650</c:v>
                </c:pt>
                <c:pt idx="4">
                  <c:v>42650</c:v>
                </c:pt>
                <c:pt idx="5">
                  <c:v>42650</c:v>
                </c:pt>
                <c:pt idx="6">
                  <c:v>42650</c:v>
                </c:pt>
                <c:pt idx="7">
                  <c:v>42657</c:v>
                </c:pt>
                <c:pt idx="8">
                  <c:v>42657</c:v>
                </c:pt>
                <c:pt idx="9">
                  <c:v>42664</c:v>
                </c:pt>
                <c:pt idx="10">
                  <c:v>42664</c:v>
                </c:pt>
                <c:pt idx="11">
                  <c:v>42671</c:v>
                </c:pt>
                <c:pt idx="12">
                  <c:v>42678</c:v>
                </c:pt>
                <c:pt idx="13">
                  <c:v>42678</c:v>
                </c:pt>
                <c:pt idx="14">
                  <c:v>42664</c:v>
                </c:pt>
                <c:pt idx="15">
                  <c:v>42664</c:v>
                </c:pt>
                <c:pt idx="16">
                  <c:v>42670</c:v>
                </c:pt>
                <c:pt idx="17">
                  <c:v>42677</c:v>
                </c:pt>
                <c:pt idx="18">
                  <c:v>42684</c:v>
                </c:pt>
                <c:pt idx="19">
                  <c:v>42684</c:v>
                </c:pt>
                <c:pt idx="20">
                  <c:v>42691</c:v>
                </c:pt>
                <c:pt idx="21">
                  <c:v>42721</c:v>
                </c:pt>
                <c:pt idx="22">
                  <c:v>42721</c:v>
                </c:pt>
                <c:pt idx="23">
                  <c:v>42737</c:v>
                </c:pt>
                <c:pt idx="24">
                  <c:v>42737</c:v>
                </c:pt>
                <c:pt idx="25">
                  <c:v>42757</c:v>
                </c:pt>
                <c:pt idx="26">
                  <c:v>42757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75-447F-9583-225D9C2B6D42}"/>
            </c:ext>
          </c:extLst>
        </c:ser>
        <c:ser>
          <c:idx val="1"/>
          <c:order val="1"/>
          <c:tx>
            <c:strRef>
              <c:f>Hoja1!$D$1</c:f>
              <c:strCache>
                <c:ptCount val="1"/>
                <c:pt idx="0">
                  <c:v>Duración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Hoja1!$B$2:$B$28</c:f>
              <c:strCache>
                <c:ptCount val="27"/>
                <c:pt idx="0">
                  <c:v>Plan para el despliegue LTE en Alcalá</c:v>
                </c:pt>
                <c:pt idx="1">
                  <c:v>Inicio del proyecto</c:v>
                </c:pt>
                <c:pt idx="2">
                  <c:v>Acta de constitución del proyecto</c:v>
                </c:pt>
                <c:pt idx="3">
                  <c:v>Planificación</c:v>
                </c:pt>
                <c:pt idx="4">
                  <c:v>Plan para la dirección del proyecto</c:v>
                </c:pt>
                <c:pt idx="5">
                  <c:v>Plan de gestión del alcance</c:v>
                </c:pt>
                <c:pt idx="6">
                  <c:v>Plan de gestión de requisitos</c:v>
                </c:pt>
                <c:pt idx="7">
                  <c:v>Plan de gestión del cronograma</c:v>
                </c:pt>
                <c:pt idx="8">
                  <c:v>Plan de gestión de los costes</c:v>
                </c:pt>
                <c:pt idx="9">
                  <c:v>Plan de gestión de recursos humanos</c:v>
                </c:pt>
                <c:pt idx="10">
                  <c:v>Plan de la gestión de la comunicación</c:v>
                </c:pt>
                <c:pt idx="11">
                  <c:v>Plan de la gestión de los riesgos</c:v>
                </c:pt>
                <c:pt idx="12">
                  <c:v>Plan de gestión de las adquisiciones</c:v>
                </c:pt>
                <c:pt idx="13">
                  <c:v>Plan de gestión de los interesados</c:v>
                </c:pt>
                <c:pt idx="14">
                  <c:v>Diseño de la red</c:v>
                </c:pt>
                <c:pt idx="15">
                  <c:v>Estudio demográfico</c:v>
                </c:pt>
                <c:pt idx="16">
                  <c:v>Estudio de despliegue previo de Telefónica</c:v>
                </c:pt>
                <c:pt idx="17">
                  <c:v>Estudio de los materiales a adquirir</c:v>
                </c:pt>
                <c:pt idx="18">
                  <c:v>Diseñar red de acceso</c:v>
                </c:pt>
                <c:pt idx="19">
                  <c:v>Plan para la mimetización estaciones base</c:v>
                </c:pt>
                <c:pt idx="20">
                  <c:v>Adquisición de materiales</c:v>
                </c:pt>
                <c:pt idx="21">
                  <c:v>Medidas y ajustes de equipos</c:v>
                </c:pt>
                <c:pt idx="22">
                  <c:v>Obtención de permisos</c:v>
                </c:pt>
                <c:pt idx="23">
                  <c:v>Pruebas</c:v>
                </c:pt>
                <c:pt idx="24">
                  <c:v>Pruebas de cobertura</c:v>
                </c:pt>
                <c:pt idx="25">
                  <c:v>Proceso de cierre</c:v>
                </c:pt>
                <c:pt idx="26">
                  <c:v>Generación de informe técnico económico</c:v>
                </c:pt>
              </c:strCache>
            </c:strRef>
          </c:cat>
          <c:val>
            <c:numRef>
              <c:f>Hoja1!$D$2:$D$28</c:f>
              <c:numCache>
                <c:formatCode>General</c:formatCode>
                <c:ptCount val="27"/>
                <c:pt idx="0">
                  <c:v>124</c:v>
                </c:pt>
                <c:pt idx="1">
                  <c:v>2</c:v>
                </c:pt>
                <c:pt idx="2">
                  <c:v>2</c:v>
                </c:pt>
                <c:pt idx="3">
                  <c:v>35</c:v>
                </c:pt>
                <c:pt idx="4">
                  <c:v>35</c:v>
                </c:pt>
                <c:pt idx="5">
                  <c:v>7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7</c:v>
                </c:pt>
                <c:pt idx="11">
                  <c:v>7</c:v>
                </c:pt>
                <c:pt idx="12">
                  <c:v>7</c:v>
                </c:pt>
                <c:pt idx="13">
                  <c:v>7</c:v>
                </c:pt>
                <c:pt idx="14">
                  <c:v>64</c:v>
                </c:pt>
                <c:pt idx="15">
                  <c:v>7</c:v>
                </c:pt>
                <c:pt idx="16">
                  <c:v>7</c:v>
                </c:pt>
                <c:pt idx="17">
                  <c:v>7</c:v>
                </c:pt>
                <c:pt idx="18">
                  <c:v>30</c:v>
                </c:pt>
                <c:pt idx="19">
                  <c:v>7</c:v>
                </c:pt>
                <c:pt idx="20">
                  <c:v>30</c:v>
                </c:pt>
                <c:pt idx="21">
                  <c:v>7</c:v>
                </c:pt>
                <c:pt idx="22">
                  <c:v>7</c:v>
                </c:pt>
                <c:pt idx="23">
                  <c:v>15</c:v>
                </c:pt>
                <c:pt idx="24">
                  <c:v>21</c:v>
                </c:pt>
                <c:pt idx="25">
                  <c:v>13</c:v>
                </c:pt>
                <c:pt idx="2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D75-447F-9583-225D9C2B6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12160184"/>
        <c:axId val="412160512"/>
      </c:barChart>
      <c:catAx>
        <c:axId val="4121601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0512"/>
        <c:crosses val="autoZero"/>
        <c:auto val="1"/>
        <c:lblAlgn val="ctr"/>
        <c:lblOffset val="100"/>
        <c:noMultiLvlLbl val="0"/>
      </c:catAx>
      <c:valAx>
        <c:axId val="412160512"/>
        <c:scaling>
          <c:orientation val="minMax"/>
          <c:max val="42794"/>
          <c:min val="4264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412160184"/>
        <c:crosses val="max"/>
        <c:crossBetween val="between"/>
        <c:majorUnit val="1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14</xdr:col>
      <xdr:colOff>784860</xdr:colOff>
      <xdr:row>28</xdr:row>
      <xdr:rowOff>175260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6ECA20A-2C25-43EE-8F97-918DB182A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Views>
    <sheetView tabSelected="1" workbookViewId="0">
      <selection activeCell="B20" sqref="B20"/>
    </sheetView>
  </sheetViews>
  <sheetFormatPr baseColWidth="10" defaultRowHeight="14.4" x14ac:dyDescent="0.3"/>
  <cols>
    <col min="1" max="1" width="4.5546875" bestFit="1" customWidth="1"/>
    <col min="2" max="2" width="35.88671875" bestFit="1" customWidth="1"/>
    <col min="6" max="6" width="33" bestFit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41</v>
      </c>
    </row>
    <row r="2" spans="1:6" x14ac:dyDescent="0.3">
      <c r="A2" s="3"/>
      <c r="B2" s="3" t="s">
        <v>42</v>
      </c>
      <c r="C2" s="4">
        <v>42646</v>
      </c>
      <c r="D2" s="3">
        <f t="shared" ref="D2:D20" si="0">E2-C2+1</f>
        <v>124</v>
      </c>
      <c r="E2" s="4">
        <v>42769</v>
      </c>
      <c r="F2" s="8"/>
    </row>
    <row r="3" spans="1:6" x14ac:dyDescent="0.3">
      <c r="A3" s="7">
        <v>1</v>
      </c>
      <c r="B3" s="3" t="s">
        <v>5</v>
      </c>
      <c r="C3" s="10">
        <v>42646</v>
      </c>
      <c r="D3" s="11">
        <f t="shared" si="0"/>
        <v>2</v>
      </c>
      <c r="E3" s="10">
        <v>42647</v>
      </c>
      <c r="F3" s="8"/>
    </row>
    <row r="4" spans="1:6" x14ac:dyDescent="0.3">
      <c r="A4" s="5" t="s">
        <v>11</v>
      </c>
      <c r="B4" t="s">
        <v>8</v>
      </c>
      <c r="C4" s="10">
        <v>42648</v>
      </c>
      <c r="D4" s="11">
        <f t="shared" si="0"/>
        <v>2</v>
      </c>
      <c r="E4" s="10">
        <v>42649</v>
      </c>
      <c r="F4" s="8" t="s">
        <v>43</v>
      </c>
    </row>
    <row r="5" spans="1:6" x14ac:dyDescent="0.3">
      <c r="A5" s="7">
        <v>2</v>
      </c>
      <c r="B5" s="3" t="s">
        <v>6</v>
      </c>
      <c r="C5" s="4">
        <v>42650</v>
      </c>
      <c r="D5" s="3">
        <f t="shared" si="0"/>
        <v>35</v>
      </c>
      <c r="E5" s="4">
        <v>42684</v>
      </c>
      <c r="F5" s="8"/>
    </row>
    <row r="6" spans="1:6" x14ac:dyDescent="0.3">
      <c r="A6" s="5" t="s">
        <v>7</v>
      </c>
      <c r="B6" t="s">
        <v>10</v>
      </c>
      <c r="C6" s="10">
        <v>42650</v>
      </c>
      <c r="D6" s="11">
        <f t="shared" si="0"/>
        <v>35</v>
      </c>
      <c r="E6" s="10">
        <v>42684</v>
      </c>
      <c r="F6" s="8" t="s">
        <v>43</v>
      </c>
    </row>
    <row r="7" spans="1:6" x14ac:dyDescent="0.3">
      <c r="A7" t="s">
        <v>9</v>
      </c>
      <c r="B7" t="s">
        <v>12</v>
      </c>
      <c r="C7" s="10">
        <v>42650</v>
      </c>
      <c r="D7">
        <f t="shared" si="0"/>
        <v>7</v>
      </c>
      <c r="E7" s="10">
        <v>42656</v>
      </c>
      <c r="F7" s="8" t="s">
        <v>44</v>
      </c>
    </row>
    <row r="8" spans="1:6" x14ac:dyDescent="0.3">
      <c r="A8" s="5" t="s">
        <v>13</v>
      </c>
      <c r="B8" t="s">
        <v>14</v>
      </c>
      <c r="C8" s="10">
        <v>42650</v>
      </c>
      <c r="D8">
        <f t="shared" si="0"/>
        <v>7</v>
      </c>
      <c r="E8" s="10">
        <v>42656</v>
      </c>
      <c r="F8" s="8" t="s">
        <v>45</v>
      </c>
    </row>
    <row r="9" spans="1:6" x14ac:dyDescent="0.3">
      <c r="A9" s="5" t="s">
        <v>15</v>
      </c>
      <c r="B9" t="s">
        <v>16</v>
      </c>
      <c r="C9" s="10">
        <v>42657</v>
      </c>
      <c r="D9">
        <f t="shared" si="0"/>
        <v>7</v>
      </c>
      <c r="E9" s="10">
        <v>42663</v>
      </c>
      <c r="F9" s="8" t="s">
        <v>44</v>
      </c>
    </row>
    <row r="10" spans="1:6" x14ac:dyDescent="0.3">
      <c r="A10" s="5" t="s">
        <v>17</v>
      </c>
      <c r="B10" t="s">
        <v>18</v>
      </c>
      <c r="C10" s="10">
        <v>42657</v>
      </c>
      <c r="D10">
        <f t="shared" si="0"/>
        <v>7</v>
      </c>
      <c r="E10" s="10">
        <v>42663</v>
      </c>
      <c r="F10" s="8" t="s">
        <v>45</v>
      </c>
    </row>
    <row r="11" spans="1:6" x14ac:dyDescent="0.3">
      <c r="A11" s="5" t="s">
        <v>19</v>
      </c>
      <c r="B11" t="s">
        <v>20</v>
      </c>
      <c r="C11" s="10">
        <v>42664</v>
      </c>
      <c r="D11">
        <f t="shared" si="0"/>
        <v>7</v>
      </c>
      <c r="E11" s="10">
        <v>42670</v>
      </c>
      <c r="F11" s="8" t="s">
        <v>44</v>
      </c>
    </row>
    <row r="12" spans="1:6" x14ac:dyDescent="0.3">
      <c r="A12" s="5" t="s">
        <v>21</v>
      </c>
      <c r="B12" t="s">
        <v>22</v>
      </c>
      <c r="C12" s="10">
        <v>42664</v>
      </c>
      <c r="D12">
        <f t="shared" si="0"/>
        <v>7</v>
      </c>
      <c r="E12" s="10">
        <v>42670</v>
      </c>
      <c r="F12" s="8" t="s">
        <v>45</v>
      </c>
    </row>
    <row r="13" spans="1:6" x14ac:dyDescent="0.3">
      <c r="A13" s="5" t="s">
        <v>23</v>
      </c>
      <c r="B13" t="s">
        <v>24</v>
      </c>
      <c r="C13" s="10">
        <v>42671</v>
      </c>
      <c r="D13">
        <f t="shared" si="0"/>
        <v>7</v>
      </c>
      <c r="E13" s="10">
        <v>42677</v>
      </c>
      <c r="F13" s="8" t="s">
        <v>44</v>
      </c>
    </row>
    <row r="14" spans="1:6" x14ac:dyDescent="0.3">
      <c r="A14" s="5" t="s">
        <v>25</v>
      </c>
      <c r="B14" t="s">
        <v>26</v>
      </c>
      <c r="C14" s="10">
        <v>42678</v>
      </c>
      <c r="D14">
        <f t="shared" si="0"/>
        <v>7</v>
      </c>
      <c r="E14" s="10">
        <v>42684</v>
      </c>
      <c r="F14" s="8" t="s">
        <v>44</v>
      </c>
    </row>
    <row r="15" spans="1:6" x14ac:dyDescent="0.3">
      <c r="A15" s="5" t="s">
        <v>27</v>
      </c>
      <c r="B15" t="s">
        <v>28</v>
      </c>
      <c r="C15" s="10">
        <v>42678</v>
      </c>
      <c r="D15">
        <f t="shared" si="0"/>
        <v>7</v>
      </c>
      <c r="E15" s="10">
        <v>42684</v>
      </c>
      <c r="F15" s="8" t="s">
        <v>45</v>
      </c>
    </row>
    <row r="16" spans="1:6" x14ac:dyDescent="0.3">
      <c r="A16" s="7">
        <v>3</v>
      </c>
      <c r="B16" s="3" t="s">
        <v>29</v>
      </c>
      <c r="C16" s="4">
        <v>42664</v>
      </c>
      <c r="D16" s="3">
        <f t="shared" si="0"/>
        <v>64</v>
      </c>
      <c r="E16" s="4">
        <v>42727</v>
      </c>
      <c r="F16" s="8"/>
    </row>
    <row r="17" spans="1:6" x14ac:dyDescent="0.3">
      <c r="A17" s="5" t="s">
        <v>30</v>
      </c>
      <c r="B17" t="s">
        <v>31</v>
      </c>
      <c r="C17" s="10">
        <v>42664</v>
      </c>
      <c r="D17">
        <f t="shared" si="0"/>
        <v>7</v>
      </c>
      <c r="E17" s="10">
        <v>42670</v>
      </c>
      <c r="F17" s="8" t="s">
        <v>52</v>
      </c>
    </row>
    <row r="18" spans="1:6" x14ac:dyDescent="0.3">
      <c r="A18" s="5" t="s">
        <v>32</v>
      </c>
      <c r="B18" t="s">
        <v>33</v>
      </c>
      <c r="C18" s="10">
        <v>42670</v>
      </c>
      <c r="D18">
        <f t="shared" si="0"/>
        <v>7</v>
      </c>
      <c r="E18" s="1">
        <v>42676</v>
      </c>
      <c r="F18" s="8" t="s">
        <v>52</v>
      </c>
    </row>
    <row r="19" spans="1:6" x14ac:dyDescent="0.3">
      <c r="A19" s="5" t="s">
        <v>34</v>
      </c>
      <c r="B19" t="s">
        <v>35</v>
      </c>
      <c r="C19" s="1">
        <v>42677</v>
      </c>
      <c r="D19">
        <f t="shared" si="0"/>
        <v>7</v>
      </c>
      <c r="E19" s="1">
        <v>42683</v>
      </c>
      <c r="F19" s="8" t="s">
        <v>53</v>
      </c>
    </row>
    <row r="20" spans="1:6" x14ac:dyDescent="0.3">
      <c r="A20" s="5" t="s">
        <v>36</v>
      </c>
      <c r="B20" t="s">
        <v>59</v>
      </c>
      <c r="C20" s="10">
        <v>42684</v>
      </c>
      <c r="D20">
        <f t="shared" si="0"/>
        <v>30</v>
      </c>
      <c r="E20" s="1">
        <v>42713</v>
      </c>
      <c r="F20" s="8" t="s">
        <v>54</v>
      </c>
    </row>
    <row r="21" spans="1:6" x14ac:dyDescent="0.3">
      <c r="A21" s="5" t="s">
        <v>50</v>
      </c>
      <c r="B21" t="s">
        <v>51</v>
      </c>
      <c r="C21" s="10">
        <v>42684</v>
      </c>
      <c r="D21">
        <f>E21-C21+1</f>
        <v>7</v>
      </c>
      <c r="E21" s="1">
        <v>42690</v>
      </c>
      <c r="F21" s="8" t="s">
        <v>53</v>
      </c>
    </row>
    <row r="22" spans="1:6" x14ac:dyDescent="0.3">
      <c r="A22" s="12" t="s">
        <v>55</v>
      </c>
      <c r="B22" s="11" t="s">
        <v>37</v>
      </c>
      <c r="C22" s="10">
        <v>42691</v>
      </c>
      <c r="D22" s="11">
        <f>E22-C22+1</f>
        <v>30</v>
      </c>
      <c r="E22" s="10">
        <v>42720</v>
      </c>
      <c r="F22" s="8" t="s">
        <v>53</v>
      </c>
    </row>
    <row r="23" spans="1:6" x14ac:dyDescent="0.3">
      <c r="A23" s="5" t="s">
        <v>56</v>
      </c>
      <c r="B23" t="s">
        <v>46</v>
      </c>
      <c r="C23" s="1">
        <v>42721</v>
      </c>
      <c r="D23">
        <f>E23-C23+1</f>
        <v>7</v>
      </c>
      <c r="E23" s="1">
        <v>42727</v>
      </c>
      <c r="F23" s="8" t="s">
        <v>53</v>
      </c>
    </row>
    <row r="24" spans="1:6" x14ac:dyDescent="0.3">
      <c r="A24" s="12">
        <v>4</v>
      </c>
      <c r="B24" s="11" t="s">
        <v>47</v>
      </c>
      <c r="C24" s="10">
        <v>42721</v>
      </c>
      <c r="D24" s="11">
        <f>E24-C24+1</f>
        <v>7</v>
      </c>
      <c r="E24" s="10">
        <v>42727</v>
      </c>
      <c r="F24" s="8" t="s">
        <v>43</v>
      </c>
    </row>
    <row r="25" spans="1:6" x14ac:dyDescent="0.3">
      <c r="A25" s="7">
        <v>5</v>
      </c>
      <c r="B25" s="3" t="s">
        <v>38</v>
      </c>
      <c r="C25" s="4">
        <v>42737</v>
      </c>
      <c r="D25" s="3">
        <f t="shared" ref="D25:D26" si="1">E25-C25+1</f>
        <v>15</v>
      </c>
      <c r="E25" s="4">
        <v>42751</v>
      </c>
      <c r="F25" s="8"/>
    </row>
    <row r="26" spans="1:6" x14ac:dyDescent="0.3">
      <c r="A26" t="s">
        <v>57</v>
      </c>
      <c r="B26" t="s">
        <v>48</v>
      </c>
      <c r="C26" s="10">
        <v>42737</v>
      </c>
      <c r="D26" s="11">
        <f t="shared" si="1"/>
        <v>21</v>
      </c>
      <c r="E26" s="10">
        <v>42757</v>
      </c>
      <c r="F26" s="8" t="s">
        <v>58</v>
      </c>
    </row>
    <row r="27" spans="1:6" x14ac:dyDescent="0.3">
      <c r="A27" s="7">
        <v>6</v>
      </c>
      <c r="B27" s="3" t="s">
        <v>40</v>
      </c>
      <c r="C27" s="4">
        <v>42757</v>
      </c>
      <c r="D27" s="3">
        <f t="shared" ref="D27:D28" si="2">E27-C27+1</f>
        <v>13</v>
      </c>
      <c r="E27" s="4">
        <v>42769</v>
      </c>
      <c r="F27" s="8"/>
    </row>
    <row r="28" spans="1:6" x14ac:dyDescent="0.3">
      <c r="A28" s="12" t="s">
        <v>39</v>
      </c>
      <c r="B28" s="11" t="s">
        <v>49</v>
      </c>
      <c r="C28" s="4">
        <v>42757</v>
      </c>
      <c r="D28" s="3">
        <f t="shared" si="2"/>
        <v>13</v>
      </c>
      <c r="E28" s="4">
        <v>42769</v>
      </c>
      <c r="F28" s="8" t="s">
        <v>43</v>
      </c>
    </row>
    <row r="29" spans="1:6" x14ac:dyDescent="0.3">
      <c r="C29" s="9"/>
      <c r="E29" s="9"/>
    </row>
    <row r="30" spans="1:6" x14ac:dyDescent="0.3">
      <c r="C30" s="9"/>
      <c r="D30" s="6"/>
      <c r="E30" s="9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Maganto Pascual</dc:creator>
  <cp:lastModifiedBy>Ana Maria de la Fuente Aguilar</cp:lastModifiedBy>
  <dcterms:created xsi:type="dcterms:W3CDTF">2016-10-29T09:10:17Z</dcterms:created>
  <dcterms:modified xsi:type="dcterms:W3CDTF">2016-11-02T18:19:31Z</dcterms:modified>
</cp:coreProperties>
</file>