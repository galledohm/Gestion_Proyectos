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23715" windowHeight="1005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B4" i="1" l="1"/>
  <c r="F4" i="1"/>
  <c r="B5" i="1"/>
  <c r="F5" i="1" s="1"/>
  <c r="F3" i="1"/>
  <c r="F14" i="1"/>
  <c r="F15" i="1"/>
  <c r="F16" i="1"/>
  <c r="F17" i="1"/>
  <c r="F13" i="1"/>
  <c r="F7" i="1"/>
  <c r="F8" i="1"/>
  <c r="F9" i="1"/>
</calcChain>
</file>

<file path=xl/sharedStrings.xml><?xml version="1.0" encoding="utf-8"?>
<sst xmlns="http://schemas.openxmlformats.org/spreadsheetml/2006/main" count="43" uniqueCount="27">
  <si>
    <t>Estimación costes</t>
  </si>
  <si>
    <t>Costes Materiales</t>
  </si>
  <si>
    <t>Alquiler</t>
  </si>
  <si>
    <t>Telefonos + tarifas</t>
  </si>
  <si>
    <t>Ordenadores</t>
  </si>
  <si>
    <t>Licencias de programas</t>
  </si>
  <si>
    <t>Seguros??</t>
  </si>
  <si>
    <t>Costes RRHH</t>
  </si>
  <si>
    <t>Nóminas</t>
  </si>
  <si>
    <t>CEO</t>
  </si>
  <si>
    <t>Jefe departamento</t>
  </si>
  <si>
    <t>Puesto Categoria A</t>
  </si>
  <si>
    <t>Puesto Categoria B</t>
  </si>
  <si>
    <t>Puesto Categoria C</t>
  </si>
  <si>
    <t>Costes Subcontrataciones</t>
  </si>
  <si>
    <t>Coste empresa SW</t>
  </si>
  <si>
    <t>Coste del reparto</t>
  </si>
  <si>
    <t>Coste Call Center</t>
  </si>
  <si>
    <t>€/mes</t>
  </si>
  <si>
    <t># meses</t>
  </si>
  <si>
    <t>#unidades</t>
  </si>
  <si>
    <t>#empleados</t>
  </si>
  <si>
    <t>Salario Bruto</t>
  </si>
  <si>
    <t>coste/(unidad*año)</t>
  </si>
  <si>
    <t>Paquete Office</t>
  </si>
  <si>
    <t>Programa Marketing?</t>
  </si>
  <si>
    <t>Programa Contabilidad?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</si>
</sst>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selection activeCell="F22" sqref="F22"/>
    </sheetView>
  </sheetViews>
  <sheetFormatPr baseColWidth="10" defaultRowHeight="15" x14ac:dyDescent="0.25"/>
  <cols>
    <col min="1" max="1" width="23.140625" bestFit="1" customWidth="1"/>
    <col min="3" max="3" width="18.5703125" bestFit="1" customWidth="1"/>
  </cols>
  <sheetData>
    <row r="1" spans="1:6" ht="21" x14ac:dyDescent="0.35">
      <c r="A1" s="2" t="s">
        <v>0</v>
      </c>
    </row>
    <row r="2" spans="1:6" x14ac:dyDescent="0.25">
      <c r="A2" s="1" t="s">
        <v>1</v>
      </c>
    </row>
    <row r="3" spans="1:6" x14ac:dyDescent="0.25">
      <c r="A3" t="s">
        <v>2</v>
      </c>
      <c r="B3">
        <v>1000</v>
      </c>
      <c r="C3" t="s">
        <v>18</v>
      </c>
      <c r="D3">
        <v>12</v>
      </c>
      <c r="E3" t="s">
        <v>19</v>
      </c>
      <c r="F3">
        <f>B3*D3</f>
        <v>12000</v>
      </c>
    </row>
    <row r="4" spans="1:6" x14ac:dyDescent="0.25">
      <c r="A4" t="s">
        <v>3</v>
      </c>
      <c r="B4">
        <f>SUM($D$13:$D$17)</f>
        <v>23</v>
      </c>
      <c r="C4" t="s">
        <v>23</v>
      </c>
      <c r="D4">
        <v>70</v>
      </c>
      <c r="E4" t="s">
        <v>20</v>
      </c>
      <c r="F4">
        <f>B4*D4</f>
        <v>1610</v>
      </c>
    </row>
    <row r="5" spans="1:6" x14ac:dyDescent="0.25">
      <c r="A5" t="s">
        <v>4</v>
      </c>
      <c r="B5">
        <f>SUM($D$13:$D$17)</f>
        <v>23</v>
      </c>
      <c r="C5" t="s">
        <v>23</v>
      </c>
      <c r="D5">
        <v>1000</v>
      </c>
      <c r="E5" t="s">
        <v>20</v>
      </c>
      <c r="F5">
        <f>B5*D5</f>
        <v>23000</v>
      </c>
    </row>
    <row r="6" spans="1:6" x14ac:dyDescent="0.25">
      <c r="A6" t="s">
        <v>5</v>
      </c>
    </row>
    <row r="7" spans="1:6" x14ac:dyDescent="0.25">
      <c r="A7" t="s">
        <v>24</v>
      </c>
      <c r="C7" t="s">
        <v>23</v>
      </c>
      <c r="E7" t="s">
        <v>20</v>
      </c>
      <c r="F7">
        <f>B7*D7</f>
        <v>0</v>
      </c>
    </row>
    <row r="8" spans="1:6" x14ac:dyDescent="0.25">
      <c r="A8" t="s">
        <v>25</v>
      </c>
      <c r="C8" t="s">
        <v>23</v>
      </c>
      <c r="E8" t="s">
        <v>20</v>
      </c>
      <c r="F8">
        <f>B8*D8</f>
        <v>0</v>
      </c>
    </row>
    <row r="9" spans="1:6" x14ac:dyDescent="0.25">
      <c r="A9" t="s">
        <v>26</v>
      </c>
      <c r="C9" t="s">
        <v>23</v>
      </c>
      <c r="E9" t="s">
        <v>20</v>
      </c>
      <c r="F9">
        <f>B9*D9</f>
        <v>0</v>
      </c>
    </row>
    <row r="10" spans="1:6" x14ac:dyDescent="0.25">
      <c r="A10" t="s">
        <v>6</v>
      </c>
    </row>
    <row r="11" spans="1:6" x14ac:dyDescent="0.25">
      <c r="A11" s="1" t="s">
        <v>7</v>
      </c>
    </row>
    <row r="12" spans="1:6" x14ac:dyDescent="0.25">
      <c r="A12" t="s">
        <v>8</v>
      </c>
    </row>
    <row r="13" spans="1:6" x14ac:dyDescent="0.25">
      <c r="A13" t="s">
        <v>9</v>
      </c>
      <c r="B13">
        <v>50000</v>
      </c>
      <c r="C13" t="s">
        <v>22</v>
      </c>
      <c r="D13">
        <v>1</v>
      </c>
      <c r="E13" t="s">
        <v>21</v>
      </c>
      <c r="F13">
        <f>B13*D13</f>
        <v>50000</v>
      </c>
    </row>
    <row r="14" spans="1:6" x14ac:dyDescent="0.25">
      <c r="A14" t="s">
        <v>10</v>
      </c>
      <c r="B14">
        <v>40000</v>
      </c>
      <c r="C14" t="s">
        <v>22</v>
      </c>
      <c r="D14">
        <v>4</v>
      </c>
      <c r="E14" t="s">
        <v>21</v>
      </c>
      <c r="F14">
        <f t="shared" ref="F14:F17" si="0">B14*D14</f>
        <v>160000</v>
      </c>
    </row>
    <row r="15" spans="1:6" x14ac:dyDescent="0.25">
      <c r="A15" t="s">
        <v>11</v>
      </c>
      <c r="B15">
        <v>35000</v>
      </c>
      <c r="C15" t="s">
        <v>22</v>
      </c>
      <c r="D15">
        <v>4</v>
      </c>
      <c r="E15" t="s">
        <v>21</v>
      </c>
      <c r="F15">
        <f t="shared" si="0"/>
        <v>140000</v>
      </c>
    </row>
    <row r="16" spans="1:6" x14ac:dyDescent="0.25">
      <c r="A16" t="s">
        <v>12</v>
      </c>
      <c r="B16">
        <v>28000</v>
      </c>
      <c r="C16" t="s">
        <v>22</v>
      </c>
      <c r="D16">
        <v>8</v>
      </c>
      <c r="E16" t="s">
        <v>21</v>
      </c>
      <c r="F16">
        <f t="shared" si="0"/>
        <v>224000</v>
      </c>
    </row>
    <row r="17" spans="1:6" x14ac:dyDescent="0.25">
      <c r="A17" t="s">
        <v>13</v>
      </c>
      <c r="B17">
        <v>24000</v>
      </c>
      <c r="C17" t="s">
        <v>22</v>
      </c>
      <c r="D17">
        <v>6</v>
      </c>
      <c r="E17" t="s">
        <v>21</v>
      </c>
      <c r="F17">
        <f t="shared" si="0"/>
        <v>144000</v>
      </c>
    </row>
    <row r="18" spans="1:6" x14ac:dyDescent="0.25">
      <c r="A18" s="1" t="s">
        <v>14</v>
      </c>
    </row>
    <row r="19" spans="1:6" x14ac:dyDescent="0.25">
      <c r="A19" t="s">
        <v>15</v>
      </c>
    </row>
    <row r="20" spans="1:6" x14ac:dyDescent="0.25">
      <c r="A20" t="s">
        <v>16</v>
      </c>
    </row>
    <row r="21" spans="1:6" x14ac:dyDescent="0.25">
      <c r="A21" t="s">
        <v>17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Paniagua</dc:creator>
  <cp:lastModifiedBy>Arturo Paniagua</cp:lastModifiedBy>
  <dcterms:created xsi:type="dcterms:W3CDTF">2018-12-17T10:18:10Z</dcterms:created>
  <dcterms:modified xsi:type="dcterms:W3CDTF">2018-12-17T10:31:11Z</dcterms:modified>
</cp:coreProperties>
</file>