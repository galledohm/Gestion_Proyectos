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30" windowWidth="23715" windowHeight="1005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X11" i="1" l="1"/>
  <c r="AD12" i="1"/>
  <c r="D55" i="1"/>
  <c r="AA11" i="1"/>
  <c r="AB11" i="1" s="1"/>
  <c r="AC11" i="1" s="1"/>
  <c r="AD11" i="1" s="1"/>
  <c r="AE11" i="1" s="1"/>
  <c r="AF11" i="1" s="1"/>
  <c r="AG11" i="1" s="1"/>
  <c r="AH11" i="1" s="1"/>
  <c r="AI11" i="1" s="1"/>
  <c r="AJ11" i="1" s="1"/>
  <c r="Z11" i="1"/>
  <c r="Y11" i="1"/>
  <c r="AJ12" i="1"/>
  <c r="AI12" i="1"/>
  <c r="AH12" i="1"/>
  <c r="AG12" i="1"/>
  <c r="AF12" i="1"/>
  <c r="AE12" i="1"/>
  <c r="AB12" i="1"/>
  <c r="AC12" i="1"/>
  <c r="AA12" i="1"/>
  <c r="Y12" i="1"/>
  <c r="Z12" i="1"/>
  <c r="X12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X10" i="1"/>
  <c r="AD9" i="1"/>
  <c r="AE9" i="1"/>
  <c r="AF9" i="1"/>
  <c r="AG9" i="1"/>
  <c r="AH9" i="1"/>
  <c r="AI9" i="1"/>
  <c r="AJ9" i="1"/>
  <c r="AC9" i="1"/>
  <c r="AL9" i="1"/>
  <c r="AL8" i="1"/>
  <c r="Y4" i="1"/>
  <c r="Z4" i="1"/>
  <c r="AA4" i="1"/>
  <c r="AB4" i="1"/>
  <c r="AC4" i="1"/>
  <c r="AD4" i="1"/>
  <c r="AE4" i="1"/>
  <c r="AF4" i="1"/>
  <c r="AG4" i="1"/>
  <c r="AH4" i="1"/>
  <c r="AI4" i="1"/>
  <c r="AJ4" i="1"/>
  <c r="X4" i="1"/>
  <c r="AL4" i="1" s="1"/>
  <c r="Y3" i="1"/>
  <c r="Z3" i="1"/>
  <c r="AA3" i="1"/>
  <c r="AB3" i="1"/>
  <c r="AC3" i="1"/>
  <c r="AD3" i="1"/>
  <c r="AE3" i="1"/>
  <c r="AF3" i="1"/>
  <c r="AG3" i="1"/>
  <c r="AH3" i="1"/>
  <c r="AI3" i="1"/>
  <c r="AJ3" i="1"/>
  <c r="X3" i="1"/>
  <c r="AL3" i="1" s="1"/>
  <c r="AL5" i="1"/>
  <c r="AL6" i="1"/>
  <c r="AL7" i="1"/>
  <c r="AE8" i="1"/>
  <c r="AF8" i="1"/>
  <c r="AD8" i="1"/>
  <c r="AD7" i="1"/>
  <c r="AE7" i="1"/>
  <c r="AC7" i="1"/>
  <c r="Z6" i="1"/>
  <c r="AA6" i="1"/>
  <c r="AB6" i="1"/>
  <c r="Y6" i="1"/>
  <c r="AI5" i="1"/>
  <c r="AJ5" i="1"/>
  <c r="AH5" i="1"/>
  <c r="AF5" i="1"/>
  <c r="AG5" i="1"/>
  <c r="AE5" i="1"/>
  <c r="C18" i="1" l="1"/>
  <c r="T11" i="1" l="1"/>
  <c r="T9" i="1"/>
  <c r="T40" i="1" l="1"/>
  <c r="T38" i="1"/>
  <c r="T36" i="1"/>
  <c r="T34" i="1"/>
  <c r="T41" i="1" l="1"/>
  <c r="T47" i="1" s="1"/>
  <c r="T10" i="1"/>
  <c r="T12" i="1"/>
  <c r="T13" i="1"/>
  <c r="C17" i="1"/>
  <c r="C22" i="1"/>
  <c r="C25" i="1"/>
  <c r="C28" i="1"/>
  <c r="Q26" i="1"/>
  <c r="Q25" i="1"/>
  <c r="H25" i="1"/>
  <c r="H24" i="1"/>
  <c r="Q24" i="1"/>
  <c r="N24" i="1"/>
  <c r="N23" i="1"/>
  <c r="Q23" i="1"/>
  <c r="Q22" i="1"/>
  <c r="N22" i="1"/>
  <c r="H22" i="1"/>
  <c r="K24" i="1"/>
  <c r="K23" i="1"/>
  <c r="K22" i="1"/>
  <c r="H23" i="1"/>
  <c r="D47" i="1" l="1"/>
  <c r="E47" i="1" s="1"/>
  <c r="B55" i="1"/>
  <c r="H27" i="1"/>
  <c r="N27" i="1"/>
  <c r="Q27" i="1"/>
  <c r="K27" i="1"/>
  <c r="T5" i="1"/>
  <c r="T6" i="1"/>
  <c r="T3" i="1"/>
  <c r="T18" i="1"/>
  <c r="T17" i="1"/>
  <c r="T7" i="1"/>
  <c r="T14" i="1" l="1"/>
  <c r="T27" i="1"/>
  <c r="T31" i="1" s="1"/>
  <c r="B54" i="1" l="1"/>
  <c r="D46" i="1"/>
  <c r="E46" i="1" s="1"/>
  <c r="T46" i="1"/>
  <c r="D45" i="1"/>
  <c r="E45" i="1" s="1"/>
  <c r="T45" i="1"/>
  <c r="B53" i="1"/>
  <c r="T48" i="1" l="1"/>
  <c r="B56" i="1" l="1"/>
  <c r="B57" i="1" s="1"/>
  <c r="B58" i="1" s="1"/>
  <c r="B59" i="1" s="1"/>
  <c r="T50" i="1"/>
</calcChain>
</file>

<file path=xl/sharedStrings.xml><?xml version="1.0" encoding="utf-8"?>
<sst xmlns="http://schemas.openxmlformats.org/spreadsheetml/2006/main" count="165" uniqueCount="118">
  <si>
    <t>Estimación costes</t>
  </si>
  <si>
    <t>Alquiler</t>
  </si>
  <si>
    <t>Telefonos + tarifas</t>
  </si>
  <si>
    <t>Ordenadores</t>
  </si>
  <si>
    <t>Costes RRHH</t>
  </si>
  <si>
    <t>Nóminas</t>
  </si>
  <si>
    <t>CEO</t>
  </si>
  <si>
    <t>Jefe departamento</t>
  </si>
  <si>
    <t>Puesto Categoria A</t>
  </si>
  <si>
    <t>Puesto Categoria B</t>
  </si>
  <si>
    <t>Puesto Categoria C</t>
  </si>
  <si>
    <t>Costes Subcontrataciones</t>
  </si>
  <si>
    <t>Coste empresa SW</t>
  </si>
  <si>
    <t>Coste del reparto</t>
  </si>
  <si>
    <t>Coste Call Center</t>
  </si>
  <si>
    <t>€/mes</t>
  </si>
  <si>
    <t># meses</t>
  </si>
  <si>
    <t>#unidades</t>
  </si>
  <si>
    <t>#empleados</t>
  </si>
  <si>
    <t>coste/(unidad*año)</t>
  </si>
  <si>
    <t>Paquete Office</t>
  </si>
  <si>
    <t>Departamento finanzas</t>
  </si>
  <si>
    <t>Departamento RRHH</t>
  </si>
  <si>
    <t>Departamento Marketing</t>
  </si>
  <si>
    <t>Departamento Calidad</t>
  </si>
  <si>
    <t>Empleado 1</t>
  </si>
  <si>
    <t>Empleado 2</t>
  </si>
  <si>
    <t>Empleado 3</t>
  </si>
  <si>
    <t>Empleado 4</t>
  </si>
  <si>
    <t>Empleado 5</t>
  </si>
  <si>
    <t>Categoria</t>
  </si>
  <si>
    <t>%</t>
  </si>
  <si>
    <t>Coste</t>
  </si>
  <si>
    <t>A</t>
  </si>
  <si>
    <t>B</t>
  </si>
  <si>
    <t xml:space="preserve">C </t>
  </si>
  <si>
    <t>Tot. Dept</t>
  </si>
  <si>
    <t>TOTAL</t>
  </si>
  <si>
    <t>TOTAL COSTE MATERIAL</t>
  </si>
  <si>
    <t>TOTAL RRHH</t>
  </si>
  <si>
    <t>Material de Oficina</t>
  </si>
  <si>
    <t>Coste Centro de datos</t>
  </si>
  <si>
    <t>Unidades</t>
  </si>
  <si>
    <t>DESGLOSE POR DEPARTAMENTOS</t>
  </si>
  <si>
    <t>MATERIAL SANITARIO</t>
  </si>
  <si>
    <t>Báscula</t>
  </si>
  <si>
    <t>Medidores de azucar</t>
  </si>
  <si>
    <t>unidad</t>
  </si>
  <si>
    <t>Tablets</t>
  </si>
  <si>
    <t>Coste Para la empresa (valoracion €/h)</t>
  </si>
  <si>
    <t>Alquiler de la oficina</t>
  </si>
  <si>
    <t>Material de oficina estandar. (Folios, boligrafos, material impresora….)</t>
  </si>
  <si>
    <t>Teléfonos + tarífa de los empleados</t>
  </si>
  <si>
    <t>Ordenadores portatiles con gran capacidad. Fundamentales para el desempeño del trabajo</t>
  </si>
  <si>
    <t>Necesario para el desarrollo del proyecto</t>
  </si>
  <si>
    <t>Báscula con capacidad de comunicación Bluetooth, compatible con la table y con el SW</t>
  </si>
  <si>
    <t>Medidores de azucar. Capacidad de sincronización Bluetooth con el SW</t>
  </si>
  <si>
    <t>Medidores de tensió. Capacidad de sincronización Bluetooth con el SW</t>
  </si>
  <si>
    <t>Tablet con memoria y procesador sufience para soportar el SW desarrollado. Cámara de alta calidad. Necesaria para que el paciente se pueda poner en contato tanto con el call center como con su médico.</t>
  </si>
  <si>
    <t>COMENTARIOS</t>
  </si>
  <si>
    <t>TOTAL SUBCONTRATACIONES</t>
  </si>
  <si>
    <t>Empleados</t>
  </si>
  <si>
    <t>meses</t>
  </si>
  <si>
    <t>dias/mes</t>
  </si>
  <si>
    <t>Valoracion trabajo (€/h)</t>
  </si>
  <si>
    <t>horas / dia</t>
  </si>
  <si>
    <t>Almacen</t>
  </si>
  <si>
    <t>Tecnico</t>
  </si>
  <si>
    <t>Tecnicos</t>
  </si>
  <si>
    <t>Vehiculos</t>
  </si>
  <si>
    <t>Coste Vehiculos</t>
  </si>
  <si>
    <t>Local</t>
  </si>
  <si>
    <t>Instalacion</t>
  </si>
  <si>
    <t>Salario</t>
  </si>
  <si>
    <t>Coste/usuario</t>
  </si>
  <si>
    <t>usuarios</t>
  </si>
  <si>
    <t>Costes Contingencias</t>
  </si>
  <si>
    <t>Materiales</t>
  </si>
  <si>
    <t>RRHH</t>
  </si>
  <si>
    <t>Subcontrataciones</t>
  </si>
  <si>
    <t xml:space="preserve">Riesgo </t>
  </si>
  <si>
    <t>% de guarda</t>
  </si>
  <si>
    <t>Coste estimado</t>
  </si>
  <si>
    <t>PRESUPUESTO</t>
  </si>
  <si>
    <t>Recursos materiales</t>
  </si>
  <si>
    <t>Recursos Humanos</t>
  </si>
  <si>
    <t>Contingencias</t>
  </si>
  <si>
    <t>Linea base de costes</t>
  </si>
  <si>
    <t>Reservas de gestión</t>
  </si>
  <si>
    <t>Presuesto total</t>
  </si>
  <si>
    <t>Costes Materiales</t>
  </si>
  <si>
    <t>Medidores de tensión</t>
  </si>
  <si>
    <t>Pulsioximetro</t>
  </si>
  <si>
    <t>Medidores de saturación oxigeno en sangre. Capacidad de sincronización Bluetooth con el SW</t>
  </si>
  <si>
    <t>TOTAL CONTINGENCIAS</t>
  </si>
  <si>
    <t>ENERO</t>
  </si>
  <si>
    <t>SEPTIEMBRE</t>
  </si>
  <si>
    <t>OCTUBRE</t>
  </si>
  <si>
    <t>NOVIEMBRE</t>
  </si>
  <si>
    <t>DICIEMBRE</t>
  </si>
  <si>
    <t>FEBRERO</t>
  </si>
  <si>
    <t>MARZO</t>
  </si>
  <si>
    <t>ABRIL</t>
  </si>
  <si>
    <t>MAYO</t>
  </si>
  <si>
    <t>JUNIO</t>
  </si>
  <si>
    <t>JULIO</t>
  </si>
  <si>
    <t>AGOSTO</t>
  </si>
  <si>
    <t>COSTES</t>
  </si>
  <si>
    <t>INGRESOS</t>
  </si>
  <si>
    <t>MATERIAL OFICINA</t>
  </si>
  <si>
    <t>MATERIAL TÉCNICO</t>
  </si>
  <si>
    <t>SUBCON. SW</t>
  </si>
  <si>
    <t>SUBCON. ALMACÉN</t>
  </si>
  <si>
    <t>SUBCON. CALLCEN</t>
  </si>
  <si>
    <t>COMPROBACION</t>
  </si>
  <si>
    <t>SUBCON. DATACEN</t>
  </si>
  <si>
    <t>GASTOS POR MES</t>
  </si>
  <si>
    <t>GASTOS ACUMULADOS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</si>
</sst>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8"/>
      <color rgb="FFFF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0" fillId="6" borderId="0" xfId="0" applyFill="1" applyAlignment="1">
      <alignment horizontal="center" vertical="center" wrapText="1"/>
    </xf>
    <xf numFmtId="0" fontId="0" fillId="7" borderId="0" xfId="0" applyFill="1"/>
    <xf numFmtId="0" fontId="0" fillId="8" borderId="0" xfId="0" applyFill="1"/>
    <xf numFmtId="0" fontId="0" fillId="5" borderId="0" xfId="0" applyFill="1"/>
    <xf numFmtId="0" fontId="0" fillId="0" borderId="0" xfId="0" applyFill="1" applyAlignment="1">
      <alignment horizontal="center" vertical="center" wrapText="1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4" fontId="0" fillId="0" borderId="0" xfId="0" applyNumberFormat="1"/>
    <xf numFmtId="0" fontId="0" fillId="9" borderId="0" xfId="0" applyFill="1" applyAlignment="1">
      <alignment horizontal="center" vertical="center"/>
    </xf>
    <xf numFmtId="164" fontId="0" fillId="9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8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64" fontId="0" fillId="5" borderId="0" xfId="0" applyNumberFormat="1" applyFill="1"/>
    <xf numFmtId="164" fontId="0" fillId="5" borderId="0" xfId="0" applyNumberFormat="1" applyFill="1" applyAlignment="1">
      <alignment horizontal="center" vertical="center"/>
    </xf>
    <xf numFmtId="3" fontId="0" fillId="0" borderId="0" xfId="0" applyNumberFormat="1"/>
    <xf numFmtId="10" fontId="0" fillId="0" borderId="0" xfId="0" applyNumberFormat="1" applyAlignment="1">
      <alignment horizontal="right"/>
    </xf>
    <xf numFmtId="0" fontId="0" fillId="13" borderId="0" xfId="0" applyFill="1" applyAlignment="1">
      <alignment horizontal="center" vertical="center"/>
    </xf>
    <xf numFmtId="0" fontId="0" fillId="14" borderId="0" xfId="0" applyFill="1"/>
    <xf numFmtId="0" fontId="0" fillId="15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5" fillId="16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17" borderId="0" xfId="0" applyFont="1" applyFill="1" applyAlignment="1">
      <alignment horizontal="center" vertical="center"/>
    </xf>
    <xf numFmtId="164" fontId="0" fillId="17" borderId="0" xfId="0" applyNumberFormat="1" applyFill="1" applyAlignment="1">
      <alignment horizontal="right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0" fillId="15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164" fontId="0" fillId="10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15" borderId="0" xfId="0" applyNumberFormat="1" applyFill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164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4" fontId="0" fillId="5" borderId="0" xfId="0" applyNumberForma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2" fontId="0" fillId="0" borderId="0" xfId="0" applyNumberFormat="1"/>
    <xf numFmtId="0" fontId="0" fillId="18" borderId="0" xfId="0" applyFill="1"/>
    <xf numFmtId="0" fontId="0" fillId="4" borderId="0" xfId="0" applyFill="1"/>
    <xf numFmtId="0" fontId="0" fillId="19" borderId="0" xfId="0" applyFill="1" applyAlignment="1">
      <alignment horizontal="center" vertical="center" wrapText="1"/>
    </xf>
    <xf numFmtId="0" fontId="0" fillId="20" borderId="0" xfId="0" applyFill="1" applyAlignment="1">
      <alignment horizontal="center" vertical="center" wrapText="1"/>
    </xf>
    <xf numFmtId="0" fontId="0" fillId="18" borderId="0" xfId="0" applyFill="1" applyAlignment="1">
      <alignment horizontal="center" vertical="center"/>
    </xf>
    <xf numFmtId="164" fontId="0" fillId="18" borderId="0" xfId="0" applyNumberFormat="1" applyFill="1" applyAlignment="1">
      <alignment horizontal="center" vertical="center" wrapText="1"/>
    </xf>
    <xf numFmtId="164" fontId="0" fillId="4" borderId="0" xfId="0" applyNumberForma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Ingresos</c:v>
          </c:tx>
          <c:marker>
            <c:symbol val="none"/>
          </c:marker>
          <c:cat>
            <c:strRef>
              <c:f>Hoja1!$X$2:$AJ$2</c:f>
              <c:strCache>
                <c:ptCount val="13"/>
                <c:pt idx="0">
                  <c:v>SEPTIEMBRE</c:v>
                </c:pt>
                <c:pt idx="1">
                  <c:v>OCTUBRE</c:v>
                </c:pt>
                <c:pt idx="2">
                  <c:v>NOVIEMBRE</c:v>
                </c:pt>
                <c:pt idx="3">
                  <c:v>DICIEMBRE</c:v>
                </c:pt>
                <c:pt idx="4">
                  <c:v>ENERO</c:v>
                </c:pt>
                <c:pt idx="5">
                  <c:v>FEBRERO</c:v>
                </c:pt>
                <c:pt idx="6">
                  <c:v>MARZO</c:v>
                </c:pt>
                <c:pt idx="7">
                  <c:v>ABRIL</c:v>
                </c:pt>
                <c:pt idx="8">
                  <c:v>MAYO</c:v>
                </c:pt>
                <c:pt idx="9">
                  <c:v>JUNIO</c:v>
                </c:pt>
                <c:pt idx="10">
                  <c:v>JULIO</c:v>
                </c:pt>
                <c:pt idx="11">
                  <c:v>AGOSTO</c:v>
                </c:pt>
                <c:pt idx="12">
                  <c:v>SEPTIEMBRE</c:v>
                </c:pt>
              </c:strCache>
            </c:strRef>
          </c:cat>
          <c:val>
            <c:numRef>
              <c:f>Hoja1!$X$12:$AJ$12</c:f>
              <c:numCache>
                <c:formatCode>#,##0.00\ "€"</c:formatCode>
                <c:ptCount val="13"/>
                <c:pt idx="0">
                  <c:v>444413.87199999997</c:v>
                </c:pt>
                <c:pt idx="1">
                  <c:v>444413.87199999997</c:v>
                </c:pt>
                <c:pt idx="2">
                  <c:v>444413.87199999997</c:v>
                </c:pt>
                <c:pt idx="3">
                  <c:v>888827.74399999995</c:v>
                </c:pt>
                <c:pt idx="4">
                  <c:v>888827.74399999995</c:v>
                </c:pt>
                <c:pt idx="5">
                  <c:v>888827.74399999995</c:v>
                </c:pt>
                <c:pt idx="6">
                  <c:v>1111034.68</c:v>
                </c:pt>
                <c:pt idx="7">
                  <c:v>1333241.6159999999</c:v>
                </c:pt>
                <c:pt idx="8">
                  <c:v>1333241.6159999999</c:v>
                </c:pt>
                <c:pt idx="9">
                  <c:v>1777655.4879999999</c:v>
                </c:pt>
                <c:pt idx="10">
                  <c:v>1777655.4879999999</c:v>
                </c:pt>
                <c:pt idx="11">
                  <c:v>1999862.4239999999</c:v>
                </c:pt>
                <c:pt idx="12">
                  <c:v>2222069.36</c:v>
                </c:pt>
              </c:numCache>
            </c:numRef>
          </c:val>
          <c:smooth val="0"/>
        </c:ser>
        <c:ser>
          <c:idx val="1"/>
          <c:order val="1"/>
          <c:tx>
            <c:v>Costes sin contingencias</c:v>
          </c:tx>
          <c:marker>
            <c:symbol val="none"/>
          </c:marker>
          <c:val>
            <c:numRef>
              <c:f>Hoja1!$X$11:$AJ$11</c:f>
              <c:numCache>
                <c:formatCode>#,##0.00\ "€"</c:formatCode>
                <c:ptCount val="13"/>
                <c:pt idx="0">
                  <c:v>75352.307692307688</c:v>
                </c:pt>
                <c:pt idx="1">
                  <c:v>230704.61538461538</c:v>
                </c:pt>
                <c:pt idx="2">
                  <c:v>386056.92307692306</c:v>
                </c:pt>
                <c:pt idx="3">
                  <c:v>541409.23076923075</c:v>
                </c:pt>
                <c:pt idx="4">
                  <c:v>696761.5384615385</c:v>
                </c:pt>
                <c:pt idx="5">
                  <c:v>807759.6794871795</c:v>
                </c:pt>
                <c:pt idx="6">
                  <c:v>934791.15384615387</c:v>
                </c:pt>
                <c:pt idx="7">
                  <c:v>1090697.6282051282</c:v>
                </c:pt>
                <c:pt idx="8">
                  <c:v>1221270.7692307692</c:v>
                </c:pt>
                <c:pt idx="9">
                  <c:v>1335810.576923077</c:v>
                </c:pt>
                <c:pt idx="10">
                  <c:v>1488850.3846153847</c:v>
                </c:pt>
                <c:pt idx="11">
                  <c:v>1641890.1923076925</c:v>
                </c:pt>
                <c:pt idx="12">
                  <c:v>1794930.0000000002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199552"/>
        <c:axId val="141065536"/>
      </c:lineChart>
      <c:catAx>
        <c:axId val="154199552"/>
        <c:scaling>
          <c:orientation val="minMax"/>
        </c:scaling>
        <c:delete val="0"/>
        <c:axPos val="b"/>
        <c:majorTickMark val="out"/>
        <c:minorTickMark val="none"/>
        <c:tickLblPos val="nextTo"/>
        <c:crossAx val="141065536"/>
        <c:crosses val="autoZero"/>
        <c:auto val="1"/>
        <c:lblAlgn val="ctr"/>
        <c:lblOffset val="100"/>
        <c:noMultiLvlLbl val="0"/>
      </c:catAx>
      <c:valAx>
        <c:axId val="141065536"/>
        <c:scaling>
          <c:orientation val="minMax"/>
        </c:scaling>
        <c:delete val="0"/>
        <c:axPos val="l"/>
        <c:majorGridlines/>
        <c:numFmt formatCode="#,##0.00\ &quot;€&quot;" sourceLinked="1"/>
        <c:majorTickMark val="out"/>
        <c:minorTickMark val="none"/>
        <c:tickLblPos val="nextTo"/>
        <c:crossAx val="1541995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1255059</xdr:colOff>
      <xdr:row>12</xdr:row>
      <xdr:rowOff>40341</xdr:rowOff>
    </xdr:from>
    <xdr:to>
      <xdr:col>35</xdr:col>
      <xdr:colOff>739588</xdr:colOff>
      <xdr:row>35</xdr:row>
      <xdr:rowOff>33617</xdr:rowOff>
    </xdr:to>
    <xdr:graphicFrame macro="">
      <xdr:nvGraphicFramePr>
        <xdr:cNvPr id="2" name="1 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9"/>
  <sheetViews>
    <sheetView tabSelected="1" topLeftCell="S10" zoomScale="85" zoomScaleNormal="85" workbookViewId="0">
      <selection activeCell="Z39" sqref="Z39"/>
    </sheetView>
  </sheetViews>
  <sheetFormatPr baseColWidth="10" defaultRowHeight="15" x14ac:dyDescent="0.25"/>
  <cols>
    <col min="1" max="1" width="30.42578125" style="1" bestFit="1" customWidth="1"/>
    <col min="2" max="2" width="13.5703125" style="9" customWidth="1"/>
    <col min="3" max="3" width="22.28515625" style="9" bestFit="1" customWidth="1"/>
    <col min="4" max="4" width="18.5703125" style="1" bestFit="1" customWidth="1"/>
    <col min="5" max="5" width="18.5703125" customWidth="1"/>
    <col min="6" max="6" width="11.5703125" bestFit="1" customWidth="1"/>
    <col min="7" max="7" width="5.7109375" customWidth="1"/>
    <col min="8" max="8" width="7.7109375" customWidth="1"/>
    <col min="9" max="9" width="9.42578125" bestFit="1" customWidth="1"/>
    <col min="10" max="10" width="5.7109375" customWidth="1"/>
    <col min="11" max="11" width="7.7109375" customWidth="1"/>
    <col min="12" max="12" width="9.42578125" bestFit="1" customWidth="1"/>
    <col min="13" max="13" width="5.7109375" customWidth="1"/>
    <col min="14" max="14" width="7.7109375" customWidth="1"/>
    <col min="15" max="15" width="9.42578125" bestFit="1" customWidth="1"/>
    <col min="16" max="16" width="5.7109375" customWidth="1"/>
    <col min="17" max="17" width="7" bestFit="1" customWidth="1"/>
    <col min="18" max="18" width="16" customWidth="1"/>
    <col min="19" max="19" width="16.7109375" bestFit="1" customWidth="1"/>
    <col min="20" max="20" width="13.7109375" style="14" customWidth="1"/>
    <col min="23" max="23" width="20.85546875" bestFit="1" customWidth="1"/>
    <col min="24" max="36" width="13.28515625" style="38" customWidth="1"/>
    <col min="38" max="38" width="28.140625" customWidth="1"/>
  </cols>
  <sheetData>
    <row r="1" spans="1:38" s="13" customFormat="1" ht="26.25" x14ac:dyDescent="0.4">
      <c r="A1" s="12" t="s">
        <v>0</v>
      </c>
      <c r="B1" s="64" t="s">
        <v>32</v>
      </c>
      <c r="C1" s="64"/>
      <c r="D1" s="41" t="s">
        <v>42</v>
      </c>
      <c r="E1" s="65" t="s">
        <v>59</v>
      </c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41"/>
      <c r="S1" s="41" t="s">
        <v>42</v>
      </c>
      <c r="T1" s="42" t="s">
        <v>32</v>
      </c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</row>
    <row r="2" spans="1:38" ht="23.25" x14ac:dyDescent="0.25">
      <c r="A2" s="39" t="s">
        <v>90</v>
      </c>
      <c r="X2" s="73" t="s">
        <v>96</v>
      </c>
      <c r="Y2" s="74" t="s">
        <v>97</v>
      </c>
      <c r="Z2" s="73" t="s">
        <v>98</v>
      </c>
      <c r="AA2" s="74" t="s">
        <v>99</v>
      </c>
      <c r="AB2" s="73" t="s">
        <v>95</v>
      </c>
      <c r="AC2" s="74" t="s">
        <v>100</v>
      </c>
      <c r="AD2" s="73" t="s">
        <v>101</v>
      </c>
      <c r="AE2" s="74" t="s">
        <v>102</v>
      </c>
      <c r="AF2" s="73" t="s">
        <v>103</v>
      </c>
      <c r="AG2" s="74" t="s">
        <v>104</v>
      </c>
      <c r="AH2" s="73" t="s">
        <v>105</v>
      </c>
      <c r="AI2" s="74" t="s">
        <v>106</v>
      </c>
      <c r="AJ2" s="73" t="s">
        <v>96</v>
      </c>
      <c r="AL2" s="69" t="s">
        <v>114</v>
      </c>
    </row>
    <row r="3" spans="1:38" x14ac:dyDescent="0.25">
      <c r="A3" s="1" t="s">
        <v>1</v>
      </c>
      <c r="B3" s="49">
        <v>2000</v>
      </c>
      <c r="C3" s="49"/>
      <c r="D3" s="1" t="s">
        <v>15</v>
      </c>
      <c r="E3" s="50" t="s">
        <v>50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>
        <v>12</v>
      </c>
      <c r="S3" t="s">
        <v>16</v>
      </c>
      <c r="T3" s="14">
        <f>B3*R3</f>
        <v>24000</v>
      </c>
      <c r="V3" s="75" t="s">
        <v>107</v>
      </c>
      <c r="W3" s="71" t="s">
        <v>78</v>
      </c>
      <c r="X3" s="76">
        <f>($T$31/13)</f>
        <v>71775.38461538461</v>
      </c>
      <c r="Y3" s="76">
        <f t="shared" ref="Y3:AJ3" si="0">($T$31/13)</f>
        <v>71775.38461538461</v>
      </c>
      <c r="Z3" s="76">
        <f t="shared" si="0"/>
        <v>71775.38461538461</v>
      </c>
      <c r="AA3" s="76">
        <f t="shared" si="0"/>
        <v>71775.38461538461</v>
      </c>
      <c r="AB3" s="76">
        <f t="shared" si="0"/>
        <v>71775.38461538461</v>
      </c>
      <c r="AC3" s="76">
        <f t="shared" si="0"/>
        <v>71775.38461538461</v>
      </c>
      <c r="AD3" s="76">
        <f t="shared" si="0"/>
        <v>71775.38461538461</v>
      </c>
      <c r="AE3" s="76">
        <f t="shared" si="0"/>
        <v>71775.38461538461</v>
      </c>
      <c r="AF3" s="76">
        <f t="shared" si="0"/>
        <v>71775.38461538461</v>
      </c>
      <c r="AG3" s="76">
        <f t="shared" si="0"/>
        <v>71775.38461538461</v>
      </c>
      <c r="AH3" s="76">
        <f t="shared" si="0"/>
        <v>71775.38461538461</v>
      </c>
      <c r="AI3" s="76">
        <f t="shared" si="0"/>
        <v>71775.38461538461</v>
      </c>
      <c r="AJ3" s="76">
        <f t="shared" si="0"/>
        <v>71775.38461538461</v>
      </c>
      <c r="AL3" s="70">
        <f>SUM(X3:AJ3)</f>
        <v>933080</v>
      </c>
    </row>
    <row r="4" spans="1:38" x14ac:dyDescent="0.25">
      <c r="A4" s="1" t="s">
        <v>40</v>
      </c>
      <c r="B4" s="49">
        <v>500</v>
      </c>
      <c r="C4" s="49"/>
      <c r="E4" s="50" t="s">
        <v>51</v>
      </c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T4" s="14">
        <v>500</v>
      </c>
      <c r="V4" s="75"/>
      <c r="W4" s="71" t="s">
        <v>109</v>
      </c>
      <c r="X4" s="76">
        <f>($T$3/13)+($T$4/13)+($T$5/13)+($T$6/13)+($T$7/13)</f>
        <v>3576.9230769230776</v>
      </c>
      <c r="Y4" s="76">
        <f t="shared" ref="Y4:AJ4" si="1">($T$3/13)+($T$4/13)+($T$5/13)+($T$6/13)+($T$7/13)</f>
        <v>3576.9230769230776</v>
      </c>
      <c r="Z4" s="76">
        <f t="shared" si="1"/>
        <v>3576.9230769230776</v>
      </c>
      <c r="AA4" s="76">
        <f t="shared" si="1"/>
        <v>3576.9230769230776</v>
      </c>
      <c r="AB4" s="76">
        <f t="shared" si="1"/>
        <v>3576.9230769230776</v>
      </c>
      <c r="AC4" s="76">
        <f t="shared" si="1"/>
        <v>3576.9230769230776</v>
      </c>
      <c r="AD4" s="76">
        <f t="shared" si="1"/>
        <v>3576.9230769230776</v>
      </c>
      <c r="AE4" s="76">
        <f t="shared" si="1"/>
        <v>3576.9230769230776</v>
      </c>
      <c r="AF4" s="76">
        <f t="shared" si="1"/>
        <v>3576.9230769230776</v>
      </c>
      <c r="AG4" s="76">
        <f t="shared" si="1"/>
        <v>3576.9230769230776</v>
      </c>
      <c r="AH4" s="76">
        <f t="shared" si="1"/>
        <v>3576.9230769230776</v>
      </c>
      <c r="AI4" s="76">
        <f t="shared" si="1"/>
        <v>3576.9230769230776</v>
      </c>
      <c r="AJ4" s="76">
        <f t="shared" si="1"/>
        <v>3576.9230769230776</v>
      </c>
      <c r="AL4" s="70">
        <f t="shared" ref="AL4:AL9" si="2">SUM(X4:AJ4)</f>
        <v>46500.000000000007</v>
      </c>
    </row>
    <row r="5" spans="1:38" x14ac:dyDescent="0.25">
      <c r="A5" s="1" t="s">
        <v>2</v>
      </c>
      <c r="B5" s="49">
        <v>250</v>
      </c>
      <c r="C5" s="49"/>
      <c r="D5" s="1" t="s">
        <v>19</v>
      </c>
      <c r="E5" s="50" t="s">
        <v>52</v>
      </c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>
        <v>20</v>
      </c>
      <c r="S5" t="s">
        <v>17</v>
      </c>
      <c r="T5" s="14">
        <f>B5*R5</f>
        <v>5000</v>
      </c>
      <c r="V5" s="75"/>
      <c r="W5" s="71" t="s">
        <v>110</v>
      </c>
      <c r="X5" s="76">
        <v>0</v>
      </c>
      <c r="Y5" s="76">
        <v>0</v>
      </c>
      <c r="Z5" s="76">
        <v>0</v>
      </c>
      <c r="AA5" s="76">
        <v>0</v>
      </c>
      <c r="AB5" s="76">
        <v>0</v>
      </c>
      <c r="AC5" s="76">
        <v>0</v>
      </c>
      <c r="AD5" s="76">
        <v>0</v>
      </c>
      <c r="AE5" s="76">
        <f>SUM($T$9:$T$13)*0.3/3</f>
        <v>28875</v>
      </c>
      <c r="AF5" s="76">
        <f t="shared" ref="AF5:AG5" si="3">SUM($T$9:$T$13)*0.3/3</f>
        <v>28875</v>
      </c>
      <c r="AG5" s="76">
        <f t="shared" si="3"/>
        <v>28875</v>
      </c>
      <c r="AH5" s="76">
        <f>SUM($T$9:$T$13)*0.7/3</f>
        <v>67375</v>
      </c>
      <c r="AI5" s="76">
        <f t="shared" ref="AI5:AJ5" si="4">SUM($T$9:$T$13)*0.7/3</f>
        <v>67375</v>
      </c>
      <c r="AJ5" s="76">
        <f t="shared" si="4"/>
        <v>67375</v>
      </c>
      <c r="AL5" s="70">
        <f t="shared" si="2"/>
        <v>288750</v>
      </c>
    </row>
    <row r="6" spans="1:38" x14ac:dyDescent="0.25">
      <c r="A6" s="1" t="s">
        <v>3</v>
      </c>
      <c r="B6" s="49">
        <v>700</v>
      </c>
      <c r="C6" s="49"/>
      <c r="D6" s="1" t="s">
        <v>19</v>
      </c>
      <c r="E6" s="50" t="s">
        <v>53</v>
      </c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>
        <v>20</v>
      </c>
      <c r="S6" t="s">
        <v>17</v>
      </c>
      <c r="T6" s="14">
        <f>B6*R6</f>
        <v>14000</v>
      </c>
      <c r="V6" s="75"/>
      <c r="W6" s="71" t="s">
        <v>111</v>
      </c>
      <c r="X6" s="76"/>
      <c r="Y6" s="76">
        <f>$T$34/4</f>
        <v>80000</v>
      </c>
      <c r="Z6" s="76">
        <f t="shared" ref="Z6:AB6" si="5">$T$34/4</f>
        <v>80000</v>
      </c>
      <c r="AA6" s="76">
        <f t="shared" si="5"/>
        <v>80000</v>
      </c>
      <c r="AB6" s="76">
        <f t="shared" si="5"/>
        <v>80000</v>
      </c>
      <c r="AC6" s="76"/>
      <c r="AD6" s="76"/>
      <c r="AE6" s="76"/>
      <c r="AF6" s="76"/>
      <c r="AG6" s="76"/>
      <c r="AH6" s="76"/>
      <c r="AI6" s="76"/>
      <c r="AJ6" s="76"/>
      <c r="AL6" s="70">
        <f t="shared" si="2"/>
        <v>320000</v>
      </c>
    </row>
    <row r="7" spans="1:38" x14ac:dyDescent="0.25">
      <c r="A7" s="1" t="s">
        <v>20</v>
      </c>
      <c r="B7" s="49">
        <v>150</v>
      </c>
      <c r="C7" s="49"/>
      <c r="D7" s="1" t="s">
        <v>19</v>
      </c>
      <c r="E7" s="50" t="s">
        <v>54</v>
      </c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>
        <v>20</v>
      </c>
      <c r="S7" t="s">
        <v>17</v>
      </c>
      <c r="T7" s="14">
        <f>B7*R7</f>
        <v>3000</v>
      </c>
      <c r="V7" s="75"/>
      <c r="W7" s="71" t="s">
        <v>112</v>
      </c>
      <c r="X7" s="76"/>
      <c r="Y7" s="76"/>
      <c r="Z7" s="76"/>
      <c r="AA7" s="76"/>
      <c r="AB7" s="76"/>
      <c r="AC7" s="76">
        <f>$T$36/3</f>
        <v>25333.333333333332</v>
      </c>
      <c r="AD7" s="76">
        <f t="shared" ref="AD7:AE7" si="6">$T$36/3</f>
        <v>25333.333333333332</v>
      </c>
      <c r="AE7" s="76">
        <f t="shared" si="6"/>
        <v>25333.333333333332</v>
      </c>
      <c r="AF7" s="76"/>
      <c r="AG7" s="76"/>
      <c r="AH7" s="76"/>
      <c r="AI7" s="76"/>
      <c r="AJ7" s="76"/>
      <c r="AL7" s="70">
        <f t="shared" si="2"/>
        <v>76000</v>
      </c>
    </row>
    <row r="8" spans="1:38" x14ac:dyDescent="0.25">
      <c r="A8" s="36" t="s">
        <v>44</v>
      </c>
      <c r="B8" s="49"/>
      <c r="C8" s="49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V8" s="75"/>
      <c r="W8" s="71" t="s">
        <v>113</v>
      </c>
      <c r="X8" s="76"/>
      <c r="Y8" s="76"/>
      <c r="Z8" s="76"/>
      <c r="AA8" s="76"/>
      <c r="AB8" s="76"/>
      <c r="AC8" s="76"/>
      <c r="AD8" s="76">
        <f>$T$38/3</f>
        <v>16033.333333333334</v>
      </c>
      <c r="AE8" s="76">
        <f t="shared" ref="AE8:AF8" si="7">$T$38/3</f>
        <v>16033.333333333334</v>
      </c>
      <c r="AF8" s="76">
        <f t="shared" si="7"/>
        <v>16033.333333333334</v>
      </c>
      <c r="AG8" s="76"/>
      <c r="AH8" s="76"/>
      <c r="AI8" s="76"/>
      <c r="AJ8" s="76"/>
      <c r="AL8" s="70">
        <f t="shared" si="2"/>
        <v>48100</v>
      </c>
    </row>
    <row r="9" spans="1:38" x14ac:dyDescent="0.25">
      <c r="A9" s="1" t="s">
        <v>45</v>
      </c>
      <c r="B9" s="49">
        <v>60</v>
      </c>
      <c r="C9" s="49"/>
      <c r="D9" s="1" t="s">
        <v>47</v>
      </c>
      <c r="E9" s="50" t="s">
        <v>55</v>
      </c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>
        <v>550</v>
      </c>
      <c r="S9" t="s">
        <v>17</v>
      </c>
      <c r="T9" s="14">
        <f>B9*R9</f>
        <v>33000</v>
      </c>
      <c r="V9" s="75"/>
      <c r="W9" s="71" t="s">
        <v>115</v>
      </c>
      <c r="X9" s="76"/>
      <c r="Y9" s="76"/>
      <c r="Z9" s="76"/>
      <c r="AA9" s="76"/>
      <c r="AB9" s="76"/>
      <c r="AC9" s="76">
        <f>$T$40/8</f>
        <v>10312.5</v>
      </c>
      <c r="AD9" s="76">
        <f t="shared" ref="AD9:AJ9" si="8">$T$40/8</f>
        <v>10312.5</v>
      </c>
      <c r="AE9" s="76">
        <f t="shared" si="8"/>
        <v>10312.5</v>
      </c>
      <c r="AF9" s="76">
        <f t="shared" si="8"/>
        <v>10312.5</v>
      </c>
      <c r="AG9" s="76">
        <f t="shared" si="8"/>
        <v>10312.5</v>
      </c>
      <c r="AH9" s="76">
        <f t="shared" si="8"/>
        <v>10312.5</v>
      </c>
      <c r="AI9" s="76">
        <f t="shared" si="8"/>
        <v>10312.5</v>
      </c>
      <c r="AJ9" s="76">
        <f t="shared" si="8"/>
        <v>10312.5</v>
      </c>
      <c r="AL9" s="70">
        <f t="shared" si="2"/>
        <v>82500</v>
      </c>
    </row>
    <row r="10" spans="1:38" x14ac:dyDescent="0.25">
      <c r="A10" s="1" t="s">
        <v>46</v>
      </c>
      <c r="B10" s="49">
        <v>35</v>
      </c>
      <c r="C10" s="49"/>
      <c r="D10" s="1" t="s">
        <v>47</v>
      </c>
      <c r="E10" s="50" t="s">
        <v>56</v>
      </c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>
        <v>550</v>
      </c>
      <c r="S10" t="s">
        <v>17</v>
      </c>
      <c r="T10" s="14">
        <f t="shared" ref="T10:T13" si="9">B10*R10</f>
        <v>19250</v>
      </c>
      <c r="V10" s="71"/>
      <c r="W10" s="71" t="s">
        <v>116</v>
      </c>
      <c r="X10" s="76">
        <f>SUM(X3:X9)</f>
        <v>75352.307692307688</v>
      </c>
      <c r="Y10" s="76">
        <f t="shared" ref="Y10:AJ10" si="10">SUM(Y3:Y9)</f>
        <v>155352.30769230769</v>
      </c>
      <c r="Z10" s="76">
        <f t="shared" si="10"/>
        <v>155352.30769230769</v>
      </c>
      <c r="AA10" s="76">
        <f t="shared" si="10"/>
        <v>155352.30769230769</v>
      </c>
      <c r="AB10" s="76">
        <f t="shared" si="10"/>
        <v>155352.30769230769</v>
      </c>
      <c r="AC10" s="76">
        <f t="shared" si="10"/>
        <v>110998.14102564102</v>
      </c>
      <c r="AD10" s="76">
        <f t="shared" si="10"/>
        <v>127031.47435897434</v>
      </c>
      <c r="AE10" s="76">
        <f t="shared" si="10"/>
        <v>155906.47435897434</v>
      </c>
      <c r="AF10" s="76">
        <f t="shared" si="10"/>
        <v>130573.14102564102</v>
      </c>
      <c r="AG10" s="76">
        <f t="shared" si="10"/>
        <v>114539.80769230769</v>
      </c>
      <c r="AH10" s="76">
        <f t="shared" si="10"/>
        <v>153039.80769230769</v>
      </c>
      <c r="AI10" s="76">
        <f t="shared" si="10"/>
        <v>153039.80769230769</v>
      </c>
      <c r="AJ10" s="76">
        <f t="shared" si="10"/>
        <v>153039.80769230769</v>
      </c>
    </row>
    <row r="11" spans="1:38" x14ac:dyDescent="0.25">
      <c r="A11" s="1" t="s">
        <v>92</v>
      </c>
      <c r="B11" s="49">
        <v>200</v>
      </c>
      <c r="C11" s="49"/>
      <c r="D11" s="1" t="s">
        <v>47</v>
      </c>
      <c r="E11" s="50" t="s">
        <v>93</v>
      </c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>
        <v>550</v>
      </c>
      <c r="S11" t="s">
        <v>17</v>
      </c>
      <c r="T11" s="14">
        <f t="shared" si="9"/>
        <v>110000</v>
      </c>
      <c r="V11" s="71"/>
      <c r="W11" s="71" t="s">
        <v>117</v>
      </c>
      <c r="X11" s="76">
        <f>X10</f>
        <v>75352.307692307688</v>
      </c>
      <c r="Y11" s="76">
        <f>X10+Y10</f>
        <v>230704.61538461538</v>
      </c>
      <c r="Z11" s="76">
        <f>Y11+Z10</f>
        <v>386056.92307692306</v>
      </c>
      <c r="AA11" s="76">
        <f t="shared" ref="AA11:AJ11" si="11">Z11+AA10</f>
        <v>541409.23076923075</v>
      </c>
      <c r="AB11" s="76">
        <f t="shared" si="11"/>
        <v>696761.5384615385</v>
      </c>
      <c r="AC11" s="76">
        <f t="shared" si="11"/>
        <v>807759.6794871795</v>
      </c>
      <c r="AD11" s="76">
        <f t="shared" si="11"/>
        <v>934791.15384615387</v>
      </c>
      <c r="AE11" s="76">
        <f t="shared" si="11"/>
        <v>1090697.6282051282</v>
      </c>
      <c r="AF11" s="76">
        <f t="shared" si="11"/>
        <v>1221270.7692307692</v>
      </c>
      <c r="AG11" s="76">
        <f t="shared" si="11"/>
        <v>1335810.576923077</v>
      </c>
      <c r="AH11" s="76">
        <f t="shared" si="11"/>
        <v>1488850.3846153847</v>
      </c>
      <c r="AI11" s="76">
        <f t="shared" si="11"/>
        <v>1641890.1923076925</v>
      </c>
      <c r="AJ11" s="76">
        <f t="shared" si="11"/>
        <v>1794930.0000000002</v>
      </c>
    </row>
    <row r="12" spans="1:38" x14ac:dyDescent="0.25">
      <c r="A12" s="1" t="s">
        <v>91</v>
      </c>
      <c r="B12" s="49">
        <v>80</v>
      </c>
      <c r="C12" s="49"/>
      <c r="D12" s="1" t="s">
        <v>47</v>
      </c>
      <c r="E12" s="50" t="s">
        <v>57</v>
      </c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>
        <v>550</v>
      </c>
      <c r="S12" t="s">
        <v>17</v>
      </c>
      <c r="T12" s="14">
        <f t="shared" si="9"/>
        <v>44000</v>
      </c>
      <c r="V12" s="72" t="s">
        <v>108</v>
      </c>
      <c r="W12" s="72"/>
      <c r="X12" s="77">
        <f>$B$59*0.2</f>
        <v>444413.87199999997</v>
      </c>
      <c r="Y12" s="77">
        <f t="shared" ref="Y12:AA12" si="12">$B$59*0.2</f>
        <v>444413.87199999997</v>
      </c>
      <c r="Z12" s="77">
        <f t="shared" si="12"/>
        <v>444413.87199999997</v>
      </c>
      <c r="AA12" s="77">
        <f>$B$59*0.4</f>
        <v>888827.74399999995</v>
      </c>
      <c r="AB12" s="77">
        <f t="shared" ref="AB12:AF12" si="13">$B$59*0.4</f>
        <v>888827.74399999995</v>
      </c>
      <c r="AC12" s="77">
        <f t="shared" si="13"/>
        <v>888827.74399999995</v>
      </c>
      <c r="AD12" s="77">
        <f>$B$59*0.5</f>
        <v>1111034.68</v>
      </c>
      <c r="AE12" s="77">
        <f>$B$59*0.6</f>
        <v>1333241.6159999999</v>
      </c>
      <c r="AF12" s="77">
        <f>$B$59*0.6</f>
        <v>1333241.6159999999</v>
      </c>
      <c r="AG12" s="77">
        <f>$B$59*0.8</f>
        <v>1777655.4879999999</v>
      </c>
      <c r="AH12" s="77">
        <f>$B$59*0.8</f>
        <v>1777655.4879999999</v>
      </c>
      <c r="AI12" s="77">
        <f>$B$59*0.9</f>
        <v>1999862.4239999999</v>
      </c>
      <c r="AJ12" s="77">
        <f>$B$59</f>
        <v>2222069.36</v>
      </c>
    </row>
    <row r="13" spans="1:38" s="1" customFormat="1" ht="30" customHeight="1" x14ac:dyDescent="0.25">
      <c r="A13" s="1" t="s">
        <v>48</v>
      </c>
      <c r="B13" s="63">
        <v>150</v>
      </c>
      <c r="C13" s="63"/>
      <c r="D13" s="1" t="s">
        <v>47</v>
      </c>
      <c r="E13" s="55" t="s">
        <v>58</v>
      </c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>
        <v>550</v>
      </c>
      <c r="S13" s="16" t="s">
        <v>17</v>
      </c>
      <c r="T13" s="15">
        <f t="shared" si="9"/>
        <v>82500</v>
      </c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 spans="1:38" x14ac:dyDescent="0.25">
      <c r="A14" s="10" t="s">
        <v>38</v>
      </c>
      <c r="T14" s="40">
        <f>SUM(T1:T13)</f>
        <v>335250</v>
      </c>
    </row>
    <row r="15" spans="1:38" ht="18.75" x14ac:dyDescent="0.25">
      <c r="A15" s="39" t="s">
        <v>4</v>
      </c>
    </row>
    <row r="16" spans="1:38" x14ac:dyDescent="0.25">
      <c r="A16" s="10" t="s">
        <v>5</v>
      </c>
    </row>
    <row r="17" spans="1:20" x14ac:dyDescent="0.25">
      <c r="A17" s="1" t="s">
        <v>6</v>
      </c>
      <c r="B17" s="9">
        <v>90000</v>
      </c>
      <c r="C17" s="9">
        <f>B17/1764</f>
        <v>51.020408163265309</v>
      </c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>
        <v>1</v>
      </c>
      <c r="S17" t="s">
        <v>18</v>
      </c>
      <c r="T17" s="14">
        <f>B17*R17</f>
        <v>90000</v>
      </c>
    </row>
    <row r="18" spans="1:20" ht="15" customHeight="1" x14ac:dyDescent="0.25">
      <c r="A18" s="1" t="s">
        <v>7</v>
      </c>
      <c r="B18" s="9">
        <v>70000</v>
      </c>
      <c r="C18" s="9">
        <f>B18/1764</f>
        <v>39.682539682539684</v>
      </c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>
        <v>4</v>
      </c>
      <c r="S18" t="s">
        <v>18</v>
      </c>
      <c r="T18" s="14">
        <f>B18*R18</f>
        <v>280000</v>
      </c>
    </row>
    <row r="19" spans="1:20" ht="15" customHeight="1" x14ac:dyDescent="0.25">
      <c r="F19" s="59" t="s">
        <v>43</v>
      </c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</row>
    <row r="20" spans="1:20" ht="39" customHeight="1" x14ac:dyDescent="0.25">
      <c r="F20" s="60" t="s">
        <v>21</v>
      </c>
      <c r="G20" s="60"/>
      <c r="H20" s="60"/>
      <c r="I20" s="61" t="s">
        <v>22</v>
      </c>
      <c r="J20" s="61"/>
      <c r="K20" s="61"/>
      <c r="L20" s="62" t="s">
        <v>23</v>
      </c>
      <c r="M20" s="62"/>
      <c r="N20" s="62"/>
      <c r="O20" s="53" t="s">
        <v>24</v>
      </c>
      <c r="P20" s="53"/>
      <c r="Q20" s="53"/>
    </row>
    <row r="21" spans="1:20" ht="15" customHeight="1" x14ac:dyDescent="0.25">
      <c r="F21" s="4" t="s">
        <v>30</v>
      </c>
      <c r="G21" s="2" t="s">
        <v>31</v>
      </c>
      <c r="H21" s="2" t="s">
        <v>32</v>
      </c>
      <c r="I21" s="4" t="s">
        <v>30</v>
      </c>
      <c r="J21" s="2" t="s">
        <v>31</v>
      </c>
      <c r="K21" s="2" t="s">
        <v>32</v>
      </c>
      <c r="L21" s="4" t="s">
        <v>30</v>
      </c>
      <c r="M21" s="2" t="s">
        <v>31</v>
      </c>
      <c r="N21" s="2" t="s">
        <v>32</v>
      </c>
      <c r="O21" s="4" t="s">
        <v>30</v>
      </c>
      <c r="P21" s="2" t="s">
        <v>31</v>
      </c>
      <c r="Q21" s="2" t="s">
        <v>32</v>
      </c>
    </row>
    <row r="22" spans="1:20" x14ac:dyDescent="0.25">
      <c r="A22" s="57" t="s">
        <v>8</v>
      </c>
      <c r="B22" s="54">
        <v>56000</v>
      </c>
      <c r="C22" s="56">
        <f>B22/1764</f>
        <v>31.746031746031747</v>
      </c>
      <c r="D22" s="55" t="s">
        <v>49</v>
      </c>
      <c r="E22" t="s">
        <v>25</v>
      </c>
      <c r="F22" s="5" t="s">
        <v>33</v>
      </c>
      <c r="G22">
        <v>100</v>
      </c>
      <c r="H22">
        <f>$B$22*G22/100</f>
        <v>56000</v>
      </c>
      <c r="I22" s="5" t="s">
        <v>33</v>
      </c>
      <c r="J22">
        <v>100</v>
      </c>
      <c r="K22">
        <f>$B$22*J22/100</f>
        <v>56000</v>
      </c>
      <c r="L22" s="5" t="s">
        <v>33</v>
      </c>
      <c r="M22">
        <v>100</v>
      </c>
      <c r="N22">
        <f>$B$22*M22/100</f>
        <v>56000</v>
      </c>
      <c r="O22" s="5" t="s">
        <v>33</v>
      </c>
      <c r="P22">
        <v>100</v>
      </c>
      <c r="Q22">
        <f>$B$22*P22/100</f>
        <v>56000</v>
      </c>
    </row>
    <row r="23" spans="1:20" x14ac:dyDescent="0.25">
      <c r="A23" s="57"/>
      <c r="B23" s="54"/>
      <c r="C23" s="56"/>
      <c r="D23" s="55"/>
      <c r="E23" t="s">
        <v>26</v>
      </c>
      <c r="F23" s="5" t="s">
        <v>33</v>
      </c>
      <c r="G23">
        <v>80</v>
      </c>
      <c r="H23">
        <f>B22*G23/100</f>
        <v>44800</v>
      </c>
      <c r="I23" s="6" t="s">
        <v>34</v>
      </c>
      <c r="J23">
        <v>80</v>
      </c>
      <c r="K23">
        <f>$B$25*J23/100</f>
        <v>35800</v>
      </c>
      <c r="L23" s="6" t="s">
        <v>34</v>
      </c>
      <c r="M23">
        <v>70</v>
      </c>
      <c r="N23">
        <f>$B$25*M23/100</f>
        <v>31325</v>
      </c>
      <c r="O23" s="5" t="s">
        <v>33</v>
      </c>
      <c r="P23">
        <v>100</v>
      </c>
      <c r="Q23">
        <f>$B$22*P23/100</f>
        <v>56000</v>
      </c>
    </row>
    <row r="24" spans="1:20" x14ac:dyDescent="0.25">
      <c r="A24" s="57"/>
      <c r="B24" s="54"/>
      <c r="C24" s="56"/>
      <c r="D24" s="55"/>
      <c r="E24" t="s">
        <v>27</v>
      </c>
      <c r="F24" s="6" t="s">
        <v>34</v>
      </c>
      <c r="G24">
        <v>70</v>
      </c>
      <c r="H24">
        <f>$B$25*G24/100</f>
        <v>31325</v>
      </c>
      <c r="I24" s="6" t="s">
        <v>34</v>
      </c>
      <c r="J24">
        <v>50</v>
      </c>
      <c r="K24">
        <f>$B$25*J24/100</f>
        <v>22375</v>
      </c>
      <c r="L24" s="6" t="s">
        <v>34</v>
      </c>
      <c r="M24">
        <v>50</v>
      </c>
      <c r="N24">
        <f>$B$25*M24/100</f>
        <v>22375</v>
      </c>
      <c r="O24" s="6" t="s">
        <v>34</v>
      </c>
      <c r="P24">
        <v>80</v>
      </c>
      <c r="Q24">
        <f>$B$25*P24/100</f>
        <v>35800</v>
      </c>
    </row>
    <row r="25" spans="1:20" ht="15" customHeight="1" x14ac:dyDescent="0.25">
      <c r="A25" s="58" t="s">
        <v>9</v>
      </c>
      <c r="B25" s="54">
        <v>44750</v>
      </c>
      <c r="C25" s="56">
        <f t="shared" ref="C25" si="14">B25/1764</f>
        <v>25.368480725623584</v>
      </c>
      <c r="D25" s="55" t="s">
        <v>49</v>
      </c>
      <c r="E25" t="s">
        <v>28</v>
      </c>
      <c r="F25" s="7" t="s">
        <v>35</v>
      </c>
      <c r="G25">
        <v>60</v>
      </c>
      <c r="H25">
        <f>$B$28*G25/100</f>
        <v>18720</v>
      </c>
      <c r="O25" s="7" t="s">
        <v>35</v>
      </c>
      <c r="P25">
        <v>70</v>
      </c>
      <c r="Q25">
        <f>$B$28*P25/100</f>
        <v>21840</v>
      </c>
    </row>
    <row r="26" spans="1:20" x14ac:dyDescent="0.25">
      <c r="A26" s="58"/>
      <c r="B26" s="54"/>
      <c r="C26" s="56"/>
      <c r="D26" s="55"/>
      <c r="E26" t="s">
        <v>29</v>
      </c>
      <c r="O26" s="7" t="s">
        <v>35</v>
      </c>
      <c r="P26">
        <v>60</v>
      </c>
      <c r="Q26">
        <f>$B$28*P26/100</f>
        <v>18720</v>
      </c>
    </row>
    <row r="27" spans="1:20" x14ac:dyDescent="0.25">
      <c r="A27" s="58"/>
      <c r="B27" s="54"/>
      <c r="C27" s="56"/>
      <c r="D27" s="55"/>
      <c r="E27" s="3"/>
      <c r="F27" s="59" t="s">
        <v>36</v>
      </c>
      <c r="G27" s="59"/>
      <c r="H27">
        <f>SUM(H22:H26)</f>
        <v>150845</v>
      </c>
      <c r="I27" s="59" t="s">
        <v>36</v>
      </c>
      <c r="J27" s="59"/>
      <c r="K27">
        <f>SUM(K22:K26)</f>
        <v>114175</v>
      </c>
      <c r="L27" s="59" t="s">
        <v>36</v>
      </c>
      <c r="M27" s="59"/>
      <c r="N27">
        <f>SUM(N22:N26)</f>
        <v>109700</v>
      </c>
      <c r="O27" s="59" t="s">
        <v>36</v>
      </c>
      <c r="P27" s="59"/>
      <c r="Q27">
        <f>SUM(Q22:Q26)</f>
        <v>188360</v>
      </c>
      <c r="T27" s="14">
        <f>SUM(H27,K27,N27,Q27)</f>
        <v>563080</v>
      </c>
    </row>
    <row r="28" spans="1:20" ht="15" customHeight="1" x14ac:dyDescent="0.25">
      <c r="A28" s="53" t="s">
        <v>10</v>
      </c>
      <c r="B28" s="54">
        <v>31200</v>
      </c>
      <c r="C28" s="56">
        <f t="shared" ref="C28" si="15">B28/1764</f>
        <v>17.687074829931973</v>
      </c>
      <c r="D28" s="55" t="s">
        <v>49</v>
      </c>
    </row>
    <row r="29" spans="1:20" x14ac:dyDescent="0.25">
      <c r="A29" s="53"/>
      <c r="B29" s="54"/>
      <c r="C29" s="56"/>
      <c r="D29" s="55"/>
    </row>
    <row r="30" spans="1:20" x14ac:dyDescent="0.25">
      <c r="A30" s="53"/>
      <c r="B30" s="54"/>
      <c r="C30" s="56"/>
      <c r="D30" s="55"/>
    </row>
    <row r="31" spans="1:20" x14ac:dyDescent="0.25">
      <c r="A31" s="8" t="s">
        <v>39</v>
      </c>
      <c r="B31" s="11"/>
      <c r="C31" s="11"/>
      <c r="D31" s="2"/>
      <c r="T31" s="40">
        <f>SUM(T15:T28)</f>
        <v>933080</v>
      </c>
    </row>
    <row r="32" spans="1:20" x14ac:dyDescent="0.25">
      <c r="A32" s="8"/>
      <c r="B32" s="11"/>
      <c r="C32" s="11"/>
      <c r="D32" s="2"/>
    </row>
    <row r="33" spans="1:20" ht="30" customHeight="1" x14ac:dyDescent="0.25">
      <c r="A33" s="39" t="s">
        <v>11</v>
      </c>
      <c r="B33" s="20" t="s">
        <v>61</v>
      </c>
      <c r="C33" s="20" t="s">
        <v>64</v>
      </c>
      <c r="D33" s="19" t="s">
        <v>65</v>
      </c>
      <c r="E33" s="19" t="s">
        <v>62</v>
      </c>
      <c r="F33" s="19" t="s">
        <v>63</v>
      </c>
    </row>
    <row r="34" spans="1:20" x14ac:dyDescent="0.25">
      <c r="A34" s="19" t="s">
        <v>12</v>
      </c>
      <c r="B34" s="28">
        <v>10</v>
      </c>
      <c r="C34" s="18">
        <v>50</v>
      </c>
      <c r="D34" s="1">
        <v>8</v>
      </c>
      <c r="E34" s="1">
        <v>4</v>
      </c>
      <c r="F34">
        <v>20</v>
      </c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T34" s="14">
        <f>B34*C34*D34*E34*F34</f>
        <v>320000</v>
      </c>
    </row>
    <row r="35" spans="1:20" x14ac:dyDescent="0.25">
      <c r="B35" s="22" t="s">
        <v>66</v>
      </c>
      <c r="C35" s="22" t="s">
        <v>68</v>
      </c>
      <c r="D35" s="22" t="s">
        <v>67</v>
      </c>
      <c r="E35" s="21" t="s">
        <v>69</v>
      </c>
      <c r="F35" s="52" t="s">
        <v>70</v>
      </c>
      <c r="G35" s="52"/>
    </row>
    <row r="36" spans="1:20" x14ac:dyDescent="0.25">
      <c r="A36" s="21" t="s">
        <v>13</v>
      </c>
      <c r="B36" s="9">
        <v>20000</v>
      </c>
      <c r="C36" s="18">
        <v>3</v>
      </c>
      <c r="D36" s="9">
        <v>30000</v>
      </c>
      <c r="E36" s="1">
        <v>2</v>
      </c>
      <c r="F36" s="49">
        <v>10000</v>
      </c>
      <c r="G36" s="49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T36" s="14">
        <f>B36+C36*D36*0.4+E36*F36</f>
        <v>76000</v>
      </c>
    </row>
    <row r="37" spans="1:20" x14ac:dyDescent="0.25">
      <c r="B37" s="24" t="s">
        <v>71</v>
      </c>
      <c r="C37" s="24" t="s">
        <v>72</v>
      </c>
      <c r="D37" s="23" t="s">
        <v>61</v>
      </c>
      <c r="E37" s="23" t="s">
        <v>73</v>
      </c>
      <c r="F37" s="1"/>
    </row>
    <row r="38" spans="1:20" x14ac:dyDescent="0.25">
      <c r="A38" s="23" t="s">
        <v>14</v>
      </c>
      <c r="B38" s="9">
        <v>18000</v>
      </c>
      <c r="C38" s="9">
        <v>2500</v>
      </c>
      <c r="D38" s="1">
        <v>3</v>
      </c>
      <c r="E38" s="9">
        <v>23000</v>
      </c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T38" s="14">
        <f>B38+C38+D38*E38*0.4</f>
        <v>48100</v>
      </c>
    </row>
    <row r="39" spans="1:20" x14ac:dyDescent="0.25">
      <c r="B39" s="26" t="s">
        <v>74</v>
      </c>
      <c r="C39" s="27" t="s">
        <v>75</v>
      </c>
    </row>
    <row r="40" spans="1:20" x14ac:dyDescent="0.25">
      <c r="A40" s="25" t="s">
        <v>41</v>
      </c>
      <c r="B40" s="9">
        <v>150</v>
      </c>
      <c r="C40" s="18">
        <v>550</v>
      </c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T40" s="14">
        <f>B40*C40</f>
        <v>82500</v>
      </c>
    </row>
    <row r="41" spans="1:20" x14ac:dyDescent="0.25">
      <c r="A41" s="1" t="s">
        <v>60</v>
      </c>
      <c r="T41" s="40">
        <f>SUM(T34:T40)</f>
        <v>526600</v>
      </c>
    </row>
    <row r="44" spans="1:20" ht="18.75" x14ac:dyDescent="0.25">
      <c r="A44" s="39" t="s">
        <v>76</v>
      </c>
      <c r="B44" s="17" t="s">
        <v>80</v>
      </c>
      <c r="C44" s="17" t="s">
        <v>81</v>
      </c>
      <c r="D44" s="1" t="s">
        <v>82</v>
      </c>
    </row>
    <row r="45" spans="1:20" x14ac:dyDescent="0.25">
      <c r="A45" s="30" t="s">
        <v>77</v>
      </c>
      <c r="B45" s="28">
        <v>1</v>
      </c>
      <c r="C45" s="29">
        <v>0.05</v>
      </c>
      <c r="D45" s="17">
        <f>T14</f>
        <v>335250</v>
      </c>
      <c r="E45" s="9">
        <f>D45*C45</f>
        <v>16762.5</v>
      </c>
      <c r="T45" s="14">
        <f>T14*C45</f>
        <v>16762.5</v>
      </c>
    </row>
    <row r="46" spans="1:20" x14ac:dyDescent="0.25">
      <c r="A46" s="21" t="s">
        <v>78</v>
      </c>
      <c r="B46" s="28">
        <v>2</v>
      </c>
      <c r="C46" s="29">
        <v>0.1</v>
      </c>
      <c r="D46" s="17">
        <f>T31</f>
        <v>933080</v>
      </c>
      <c r="E46" s="9">
        <f t="shared" ref="E46:E47" si="16">D46*C46</f>
        <v>93308</v>
      </c>
      <c r="T46" s="14">
        <f>T31*C46</f>
        <v>93308</v>
      </c>
    </row>
    <row r="47" spans="1:20" x14ac:dyDescent="0.25">
      <c r="A47" s="23" t="s">
        <v>79</v>
      </c>
      <c r="B47" s="28">
        <v>3</v>
      </c>
      <c r="C47" s="29">
        <v>0.15</v>
      </c>
      <c r="D47" s="17">
        <f>T41</f>
        <v>526600</v>
      </c>
      <c r="E47" s="9">
        <f t="shared" si="16"/>
        <v>78990</v>
      </c>
      <c r="T47" s="14">
        <f>T41*C47</f>
        <v>78990</v>
      </c>
    </row>
    <row r="48" spans="1:20" x14ac:dyDescent="0.25">
      <c r="A48" s="1" t="s">
        <v>94</v>
      </c>
      <c r="T48" s="40">
        <f>SUM(T45:T47)</f>
        <v>189060.5</v>
      </c>
    </row>
    <row r="50" spans="1:20" x14ac:dyDescent="0.25">
      <c r="S50" s="66" t="s">
        <v>37</v>
      </c>
      <c r="T50" s="67">
        <f>T41+T31+T14+T48</f>
        <v>1983990.5</v>
      </c>
    </row>
    <row r="51" spans="1:20" x14ac:dyDescent="0.25">
      <c r="S51" s="66"/>
      <c r="T51" s="67"/>
    </row>
    <row r="52" spans="1:20" x14ac:dyDescent="0.25">
      <c r="A52" s="31" t="s">
        <v>83</v>
      </c>
      <c r="B52"/>
      <c r="C52"/>
    </row>
    <row r="53" spans="1:20" x14ac:dyDescent="0.25">
      <c r="A53" s="32" t="s">
        <v>84</v>
      </c>
      <c r="B53" s="43">
        <f>T14</f>
        <v>335250</v>
      </c>
      <c r="C53" s="43"/>
    </row>
    <row r="54" spans="1:20" x14ac:dyDescent="0.25">
      <c r="A54" s="32" t="s">
        <v>85</v>
      </c>
      <c r="B54" s="51">
        <f>T31</f>
        <v>933080</v>
      </c>
      <c r="C54" s="51"/>
    </row>
    <row r="55" spans="1:20" x14ac:dyDescent="0.25">
      <c r="A55" s="32" t="s">
        <v>79</v>
      </c>
      <c r="B55" s="43">
        <f>T41</f>
        <v>526600</v>
      </c>
      <c r="C55" s="43"/>
      <c r="D55" s="37">
        <f>SUM(B53:C55)</f>
        <v>1794930</v>
      </c>
    </row>
    <row r="56" spans="1:20" x14ac:dyDescent="0.25">
      <c r="A56" s="32" t="s">
        <v>86</v>
      </c>
      <c r="B56" s="43">
        <f>T48</f>
        <v>189060.5</v>
      </c>
      <c r="C56" s="44"/>
    </row>
    <row r="57" spans="1:20" x14ac:dyDescent="0.25">
      <c r="A57" s="35" t="s">
        <v>87</v>
      </c>
      <c r="B57" s="45">
        <f>SUM(B53:C56)</f>
        <v>1983990.5</v>
      </c>
      <c r="C57" s="46"/>
    </row>
    <row r="58" spans="1:20" x14ac:dyDescent="0.25">
      <c r="A58" s="33" t="s">
        <v>88</v>
      </c>
      <c r="B58" s="47">
        <f>B57*0.12</f>
        <v>238078.86</v>
      </c>
      <c r="C58" s="48"/>
    </row>
    <row r="59" spans="1:20" x14ac:dyDescent="0.25">
      <c r="A59" s="34" t="s">
        <v>89</v>
      </c>
      <c r="B59" s="49">
        <f>B58+B57</f>
        <v>2222069.36</v>
      </c>
      <c r="C59" s="50"/>
    </row>
  </sheetData>
  <mergeCells count="63">
    <mergeCell ref="V3:V9"/>
    <mergeCell ref="B12:C12"/>
    <mergeCell ref="B13:C13"/>
    <mergeCell ref="B8:C8"/>
    <mergeCell ref="B1:C1"/>
    <mergeCell ref="E1:Q1"/>
    <mergeCell ref="E4:Q4"/>
    <mergeCell ref="E5:Q5"/>
    <mergeCell ref="E6:Q6"/>
    <mergeCell ref="E7:Q7"/>
    <mergeCell ref="E8:Q8"/>
    <mergeCell ref="E11:Q11"/>
    <mergeCell ref="B11:C11"/>
    <mergeCell ref="S50:S51"/>
    <mergeCell ref="T50:T51"/>
    <mergeCell ref="B3:C3"/>
    <mergeCell ref="B4:C4"/>
    <mergeCell ref="B5:C5"/>
    <mergeCell ref="B6:C6"/>
    <mergeCell ref="B7:C7"/>
    <mergeCell ref="B9:C9"/>
    <mergeCell ref="B10:C10"/>
    <mergeCell ref="E9:Q9"/>
    <mergeCell ref="E10:Q10"/>
    <mergeCell ref="E12:Q12"/>
    <mergeCell ref="E13:Q13"/>
    <mergeCell ref="E17:Q17"/>
    <mergeCell ref="E18:Q18"/>
    <mergeCell ref="E3:Q3"/>
    <mergeCell ref="O27:P27"/>
    <mergeCell ref="F19:Q19"/>
    <mergeCell ref="C22:C24"/>
    <mergeCell ref="C25:C27"/>
    <mergeCell ref="F20:H20"/>
    <mergeCell ref="I20:K20"/>
    <mergeCell ref="L20:N20"/>
    <mergeCell ref="O20:Q20"/>
    <mergeCell ref="F27:G27"/>
    <mergeCell ref="I27:J27"/>
    <mergeCell ref="L27:M27"/>
    <mergeCell ref="D22:D24"/>
    <mergeCell ref="D25:D27"/>
    <mergeCell ref="D28:D30"/>
    <mergeCell ref="C28:C30"/>
    <mergeCell ref="A22:A24"/>
    <mergeCell ref="A25:A27"/>
    <mergeCell ref="B22:B24"/>
    <mergeCell ref="B25:B27"/>
    <mergeCell ref="H34:R34"/>
    <mergeCell ref="F35:G35"/>
    <mergeCell ref="F36:G36"/>
    <mergeCell ref="H36:R36"/>
    <mergeCell ref="A28:A30"/>
    <mergeCell ref="B28:B30"/>
    <mergeCell ref="B56:C56"/>
    <mergeCell ref="B57:C57"/>
    <mergeCell ref="B58:C58"/>
    <mergeCell ref="B59:C59"/>
    <mergeCell ref="H38:R38"/>
    <mergeCell ref="H40:R40"/>
    <mergeCell ref="B53:C53"/>
    <mergeCell ref="B54:C54"/>
    <mergeCell ref="B55:C55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Paniagua</dc:creator>
  <cp:lastModifiedBy>Arturo Paniagua</cp:lastModifiedBy>
  <dcterms:created xsi:type="dcterms:W3CDTF">2018-12-17T10:18:10Z</dcterms:created>
  <dcterms:modified xsi:type="dcterms:W3CDTF">2018-12-22T11:05:26Z</dcterms:modified>
</cp:coreProperties>
</file>