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3715" windowHeight="1005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T51" i="1" l="1"/>
  <c r="T11" i="1"/>
  <c r="T9" i="1"/>
  <c r="F55" i="1" l="1"/>
  <c r="D47" i="1"/>
  <c r="E47" i="1"/>
  <c r="T47" i="1"/>
  <c r="T30" i="1"/>
  <c r="T41" i="1"/>
  <c r="T43" i="1" s="1"/>
  <c r="T39" i="1"/>
  <c r="T37" i="1"/>
  <c r="T35" i="1"/>
  <c r="T48" i="1" l="1"/>
  <c r="F56" i="1"/>
  <c r="D48" i="1"/>
  <c r="E48" i="1" s="1"/>
  <c r="T10" i="1"/>
  <c r="T12" i="1"/>
  <c r="T13" i="1"/>
  <c r="C18" i="1"/>
  <c r="C19" i="1"/>
  <c r="C23" i="1"/>
  <c r="C26" i="1"/>
  <c r="C29" i="1"/>
  <c r="T15" i="1"/>
  <c r="Q27" i="1"/>
  <c r="Q26" i="1"/>
  <c r="H26" i="1"/>
  <c r="H25" i="1"/>
  <c r="Q25" i="1"/>
  <c r="N25" i="1"/>
  <c r="N24" i="1"/>
  <c r="Q24" i="1"/>
  <c r="Q23" i="1"/>
  <c r="N23" i="1"/>
  <c r="H23" i="1"/>
  <c r="K25" i="1"/>
  <c r="K24" i="1"/>
  <c r="K23" i="1"/>
  <c r="H24" i="1"/>
  <c r="D46" i="1" l="1"/>
  <c r="E46" i="1" s="1"/>
  <c r="T46" i="1"/>
  <c r="T49" i="1" s="1"/>
  <c r="F57" i="1" s="1"/>
  <c r="F54" i="1"/>
  <c r="H28" i="1"/>
  <c r="N28" i="1"/>
  <c r="Q28" i="1"/>
  <c r="K28" i="1"/>
  <c r="T5" i="1"/>
  <c r="T6" i="1"/>
  <c r="T3" i="1"/>
  <c r="T19" i="1"/>
  <c r="T18" i="1"/>
  <c r="T7" i="1"/>
  <c r="F58" i="1" l="1"/>
  <c r="T28" i="1"/>
  <c r="F59" i="1" l="1"/>
  <c r="F60" i="1" s="1"/>
</calcChain>
</file>

<file path=xl/sharedStrings.xml><?xml version="1.0" encoding="utf-8"?>
<sst xmlns="http://schemas.openxmlformats.org/spreadsheetml/2006/main" count="140" uniqueCount="95">
  <si>
    <t>Estimación costes</t>
  </si>
  <si>
    <t>Alquiler</t>
  </si>
  <si>
    <t>Telefonos + tarifas</t>
  </si>
  <si>
    <t>Ordenadores</t>
  </si>
  <si>
    <t>Costes RRHH</t>
  </si>
  <si>
    <t>Nóminas</t>
  </si>
  <si>
    <t>CEO</t>
  </si>
  <si>
    <t>Jefe departamento</t>
  </si>
  <si>
    <t>Puesto Categoria A</t>
  </si>
  <si>
    <t>Puesto Categoria B</t>
  </si>
  <si>
    <t>Puesto Categoria C</t>
  </si>
  <si>
    <t>Costes Subcontrataciones</t>
  </si>
  <si>
    <t>Coste empresa SW</t>
  </si>
  <si>
    <t>Coste del reparto</t>
  </si>
  <si>
    <t>Coste Call Center</t>
  </si>
  <si>
    <t>€/mes</t>
  </si>
  <si>
    <t># meses</t>
  </si>
  <si>
    <t>#unidades</t>
  </si>
  <si>
    <t>#empleados</t>
  </si>
  <si>
    <t>coste/(unidad*año)</t>
  </si>
  <si>
    <t>Paquete Office</t>
  </si>
  <si>
    <t>Departamento finanzas</t>
  </si>
  <si>
    <t>Departamento RRHH</t>
  </si>
  <si>
    <t>Departamento Marketing</t>
  </si>
  <si>
    <t>Departamento Calidad</t>
  </si>
  <si>
    <t>Empleado 1</t>
  </si>
  <si>
    <t>Empleado 2</t>
  </si>
  <si>
    <t>Empleado 3</t>
  </si>
  <si>
    <t>Empleado 4</t>
  </si>
  <si>
    <t>Empleado 5</t>
  </si>
  <si>
    <t>Categoria</t>
  </si>
  <si>
    <t>%</t>
  </si>
  <si>
    <t>Coste</t>
  </si>
  <si>
    <t>A</t>
  </si>
  <si>
    <t>B</t>
  </si>
  <si>
    <t xml:space="preserve">C </t>
  </si>
  <si>
    <t>Tot. Dept</t>
  </si>
  <si>
    <t>TOTAL</t>
  </si>
  <si>
    <t>TOTAL COSTE MATERIAL</t>
  </si>
  <si>
    <t>TOTAL RRHH</t>
  </si>
  <si>
    <t>Material de Oficina</t>
  </si>
  <si>
    <t>Coste Centro de datos</t>
  </si>
  <si>
    <t>Unidades</t>
  </si>
  <si>
    <t>DESGLOSE POR DEPARTAMENTOS</t>
  </si>
  <si>
    <t>MATERIAL SANITARIO</t>
  </si>
  <si>
    <t>Báscula</t>
  </si>
  <si>
    <t>Medidores de azucar</t>
  </si>
  <si>
    <t>unidad</t>
  </si>
  <si>
    <t>Tablets</t>
  </si>
  <si>
    <t>Coste Para la empresa (valoracion €/h)</t>
  </si>
  <si>
    <t>Alquiler de la oficina</t>
  </si>
  <si>
    <t>Material de oficina estandar. (Folios, boligrafos, material impresora….)</t>
  </si>
  <si>
    <t>Teléfonos + tarífa de los empleados</t>
  </si>
  <si>
    <t>Ordenadores portatiles con gran capacidad. Fundamentales para el desempeño del trabajo</t>
  </si>
  <si>
    <t>Necesario para el desarrollo del proyecto</t>
  </si>
  <si>
    <t>Báscula con capacidad de comunicación Bluetooth, compatible con la table y con el SW</t>
  </si>
  <si>
    <t>Medidores de azucar. Capacidad de sincronización Bluetooth con el SW</t>
  </si>
  <si>
    <t>Medidores de tensió. Capacidad de sincronización Bluetooth con el SW</t>
  </si>
  <si>
    <t>Tablet con memoria y procesador sufience para soportar el SW desarrollado. Cámara de alta calidad. Necesaria para que el paciente se pueda poner en contato tanto con el call center como con su médico.</t>
  </si>
  <si>
    <t>COMENTARIOS</t>
  </si>
  <si>
    <t>TOTAL SUBCONTRATACIONES</t>
  </si>
  <si>
    <t>Empleados</t>
  </si>
  <si>
    <t>meses</t>
  </si>
  <si>
    <t>dias/mes</t>
  </si>
  <si>
    <t>Valoracion trabajo (€/h)</t>
  </si>
  <si>
    <t>horas / dia</t>
  </si>
  <si>
    <t>Se pacta este precio con la empresa desarrolladora de SW acorde a los datos de trabajadores</t>
  </si>
  <si>
    <t>Almacen</t>
  </si>
  <si>
    <t>Tecnico</t>
  </si>
  <si>
    <t>Tecnicos</t>
  </si>
  <si>
    <t>Vehiculos</t>
  </si>
  <si>
    <t>Coste Vehiculos</t>
  </si>
  <si>
    <t>Local</t>
  </si>
  <si>
    <t>Instalacion</t>
  </si>
  <si>
    <t>Salario</t>
  </si>
  <si>
    <t>Coste/usuario</t>
  </si>
  <si>
    <t>usuarios</t>
  </si>
  <si>
    <t>Costes Contingencias</t>
  </si>
  <si>
    <t>Materiales</t>
  </si>
  <si>
    <t>RRHH</t>
  </si>
  <si>
    <t>Subcontrataciones</t>
  </si>
  <si>
    <t xml:space="preserve">Riesgo </t>
  </si>
  <si>
    <t>% de guarda</t>
  </si>
  <si>
    <t>Coste estimado</t>
  </si>
  <si>
    <t>PRESUPUESTO</t>
  </si>
  <si>
    <t>Recursos materiales</t>
  </si>
  <si>
    <t>Recursos Humanos</t>
  </si>
  <si>
    <t>Contingencias</t>
  </si>
  <si>
    <t>Linea base de costes</t>
  </si>
  <si>
    <t>Reservas de gestión</t>
  </si>
  <si>
    <t>Presuesto total</t>
  </si>
  <si>
    <t>Costes Materiales</t>
  </si>
  <si>
    <t>Medidores de tensión</t>
  </si>
  <si>
    <t>Pulsioximetro</t>
  </si>
  <si>
    <t>Medidores de saturación oxigeno en sangre. Capacidad de sincronización Bluetooth con el 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</si>
</sst>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€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6" borderId="0" xfId="0" applyFill="1" applyAlignment="1">
      <alignment horizontal="center" vertical="center" wrapText="1"/>
    </xf>
    <xf numFmtId="0" fontId="0" fillId="7" borderId="0" xfId="0" applyFill="1"/>
    <xf numFmtId="0" fontId="0" fillId="8" borderId="0" xfId="0" applyFill="1"/>
    <xf numFmtId="0" fontId="0" fillId="5" borderId="0" xfId="0" applyFill="1"/>
    <xf numFmtId="0" fontId="0" fillId="0" borderId="0" xfId="0" applyFill="1" applyAlignment="1">
      <alignment horizontal="center" vertical="center" wrapText="1"/>
    </xf>
    <xf numFmtId="164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/>
    <xf numFmtId="0" fontId="0" fillId="9" borderId="0" xfId="0" applyFill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0" fillId="5" borderId="0" xfId="0" applyNumberFormat="1" applyFill="1"/>
    <xf numFmtId="164" fontId="0" fillId="5" borderId="0" xfId="0" applyNumberFormat="1" applyFill="1" applyAlignment="1">
      <alignment horizontal="center" vertical="center"/>
    </xf>
    <xf numFmtId="3" fontId="0" fillId="0" borderId="0" xfId="0" applyNumberFormat="1"/>
    <xf numFmtId="10" fontId="0" fillId="0" borderId="0" xfId="0" applyNumberFormat="1" applyAlignment="1">
      <alignment horizontal="right"/>
    </xf>
    <xf numFmtId="0" fontId="0" fillId="13" borderId="0" xfId="0" applyFill="1" applyAlignment="1">
      <alignment horizontal="center" vertical="center"/>
    </xf>
    <xf numFmtId="0" fontId="0" fillId="14" borderId="0" xfId="0" applyFill="1"/>
    <xf numFmtId="0" fontId="0" fillId="15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164" fontId="0" fillId="15" borderId="0" xfId="0" applyNumberFormat="1" applyFill="1" applyAlignment="1">
      <alignment horizontal="center"/>
    </xf>
    <xf numFmtId="0" fontId="0" fillId="15" borderId="0" xfId="0" applyFill="1" applyAlignment="1">
      <alignment horizontal="center"/>
    </xf>
    <xf numFmtId="164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164" fontId="0" fillId="10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15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164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0"/>
  <sheetViews>
    <sheetView tabSelected="1" topLeftCell="A28" zoomScale="85" zoomScaleNormal="85" workbookViewId="0">
      <selection activeCell="K60" sqref="K60"/>
    </sheetView>
  </sheetViews>
  <sheetFormatPr baseColWidth="10" defaultRowHeight="15" x14ac:dyDescent="0.25"/>
  <cols>
    <col min="1" max="1" width="30.42578125" style="1" bestFit="1" customWidth="1"/>
    <col min="2" max="2" width="13.5703125" style="9" customWidth="1"/>
    <col min="3" max="3" width="22.28515625" style="9" bestFit="1" customWidth="1"/>
    <col min="4" max="4" width="18.5703125" style="1" bestFit="1" customWidth="1"/>
    <col min="5" max="5" width="18.5703125" customWidth="1"/>
    <col min="6" max="6" width="11.5703125" bestFit="1" customWidth="1"/>
    <col min="7" max="7" width="5.7109375" customWidth="1"/>
    <col min="8" max="8" width="7.7109375" customWidth="1"/>
    <col min="9" max="9" width="9.42578125" bestFit="1" customWidth="1"/>
    <col min="10" max="10" width="5.7109375" customWidth="1"/>
    <col min="11" max="11" width="7.7109375" customWidth="1"/>
    <col min="12" max="12" width="9.42578125" bestFit="1" customWidth="1"/>
    <col min="13" max="13" width="5.7109375" customWidth="1"/>
    <col min="14" max="14" width="7.7109375" customWidth="1"/>
    <col min="15" max="15" width="9.42578125" bestFit="1" customWidth="1"/>
    <col min="16" max="16" width="5.7109375" customWidth="1"/>
    <col min="17" max="17" width="7" bestFit="1" customWidth="1"/>
    <col min="18" max="18" width="7.7109375" customWidth="1"/>
    <col min="19" max="19" width="16.7109375" bestFit="1" customWidth="1"/>
    <col min="20" max="20" width="13.7109375" style="18" customWidth="1"/>
  </cols>
  <sheetData>
    <row r="1" spans="1:20" s="14" customFormat="1" ht="26.25" x14ac:dyDescent="0.4">
      <c r="A1" s="13" t="s">
        <v>0</v>
      </c>
      <c r="B1" s="61" t="s">
        <v>32</v>
      </c>
      <c r="C1" s="61"/>
      <c r="D1" s="15" t="s">
        <v>42</v>
      </c>
      <c r="E1" s="62" t="s">
        <v>59</v>
      </c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16"/>
      <c r="S1" s="16" t="s">
        <v>42</v>
      </c>
      <c r="T1" s="17" t="s">
        <v>32</v>
      </c>
    </row>
    <row r="2" spans="1:20" ht="18.75" x14ac:dyDescent="0.25">
      <c r="A2" s="63" t="s">
        <v>91</v>
      </c>
    </row>
    <row r="3" spans="1:20" x14ac:dyDescent="0.25">
      <c r="A3" s="1" t="s">
        <v>1</v>
      </c>
      <c r="B3" s="46">
        <v>2000</v>
      </c>
      <c r="C3" s="46"/>
      <c r="D3" s="1" t="s">
        <v>15</v>
      </c>
      <c r="E3" s="47" t="s">
        <v>50</v>
      </c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>
        <v>12</v>
      </c>
      <c r="S3" t="s">
        <v>16</v>
      </c>
      <c r="T3" s="18">
        <f>B3*R3</f>
        <v>24000</v>
      </c>
    </row>
    <row r="4" spans="1:20" x14ac:dyDescent="0.25">
      <c r="A4" s="1" t="s">
        <v>40</v>
      </c>
      <c r="B4" s="46">
        <v>500</v>
      </c>
      <c r="C4" s="46"/>
      <c r="E4" s="47" t="s">
        <v>51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T4" s="18">
        <v>500</v>
      </c>
    </row>
    <row r="5" spans="1:20" x14ac:dyDescent="0.25">
      <c r="A5" s="1" t="s">
        <v>2</v>
      </c>
      <c r="B5" s="46">
        <v>250</v>
      </c>
      <c r="C5" s="46"/>
      <c r="D5" s="1" t="s">
        <v>19</v>
      </c>
      <c r="E5" s="47" t="s">
        <v>52</v>
      </c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>
        <v>20</v>
      </c>
      <c r="S5" t="s">
        <v>17</v>
      </c>
      <c r="T5" s="18">
        <f>B5*R5</f>
        <v>5000</v>
      </c>
    </row>
    <row r="6" spans="1:20" x14ac:dyDescent="0.25">
      <c r="A6" s="1" t="s">
        <v>3</v>
      </c>
      <c r="B6" s="46">
        <v>700</v>
      </c>
      <c r="C6" s="46"/>
      <c r="D6" s="1" t="s">
        <v>19</v>
      </c>
      <c r="E6" s="47" t="s">
        <v>53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>
        <v>20</v>
      </c>
      <c r="S6" t="s">
        <v>17</v>
      </c>
      <c r="T6" s="18">
        <f>B6*R6</f>
        <v>14000</v>
      </c>
    </row>
    <row r="7" spans="1:20" x14ac:dyDescent="0.25">
      <c r="A7" s="1" t="s">
        <v>20</v>
      </c>
      <c r="B7" s="46">
        <v>150</v>
      </c>
      <c r="C7" s="46"/>
      <c r="D7" s="1" t="s">
        <v>19</v>
      </c>
      <c r="E7" s="47" t="s">
        <v>54</v>
      </c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>
        <v>20</v>
      </c>
      <c r="S7" t="s">
        <v>17</v>
      </c>
      <c r="T7" s="18">
        <f>B7*R7</f>
        <v>3000</v>
      </c>
    </row>
    <row r="8" spans="1:20" x14ac:dyDescent="0.25">
      <c r="A8" s="64" t="s">
        <v>44</v>
      </c>
      <c r="B8" s="46"/>
      <c r="C8" s="46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</row>
    <row r="9" spans="1:20" x14ac:dyDescent="0.25">
      <c r="A9" s="1" t="s">
        <v>45</v>
      </c>
      <c r="B9" s="46">
        <v>60</v>
      </c>
      <c r="C9" s="46"/>
      <c r="D9" s="1" t="s">
        <v>47</v>
      </c>
      <c r="E9" s="47" t="s">
        <v>55</v>
      </c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>
        <v>550</v>
      </c>
      <c r="S9" t="s">
        <v>17</v>
      </c>
      <c r="T9" s="18">
        <f>B9*R9</f>
        <v>33000</v>
      </c>
    </row>
    <row r="10" spans="1:20" x14ac:dyDescent="0.25">
      <c r="A10" s="1" t="s">
        <v>46</v>
      </c>
      <c r="B10" s="46">
        <v>35</v>
      </c>
      <c r="C10" s="46"/>
      <c r="D10" s="1" t="s">
        <v>47</v>
      </c>
      <c r="E10" s="47" t="s">
        <v>56</v>
      </c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>
        <v>550</v>
      </c>
      <c r="S10" t="s">
        <v>17</v>
      </c>
      <c r="T10" s="18">
        <f t="shared" ref="T10:T13" si="0">B10*R10</f>
        <v>19250</v>
      </c>
    </row>
    <row r="11" spans="1:20" x14ac:dyDescent="0.25">
      <c r="A11" s="1" t="s">
        <v>93</v>
      </c>
      <c r="B11" s="46">
        <v>200</v>
      </c>
      <c r="C11" s="46"/>
      <c r="D11" s="1" t="s">
        <v>47</v>
      </c>
      <c r="E11" s="47" t="s">
        <v>94</v>
      </c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>
        <v>550</v>
      </c>
      <c r="S11" t="s">
        <v>17</v>
      </c>
      <c r="T11" s="18">
        <f t="shared" si="0"/>
        <v>110000</v>
      </c>
    </row>
    <row r="12" spans="1:20" x14ac:dyDescent="0.25">
      <c r="A12" s="1" t="s">
        <v>92</v>
      </c>
      <c r="B12" s="46">
        <v>80</v>
      </c>
      <c r="C12" s="46"/>
      <c r="D12" s="1" t="s">
        <v>47</v>
      </c>
      <c r="E12" s="47" t="s">
        <v>57</v>
      </c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>
        <v>550</v>
      </c>
      <c r="S12" t="s">
        <v>17</v>
      </c>
      <c r="T12" s="18">
        <f t="shared" si="0"/>
        <v>44000</v>
      </c>
    </row>
    <row r="13" spans="1:20" s="1" customFormat="1" ht="30" customHeight="1" x14ac:dyDescent="0.25">
      <c r="A13" s="1" t="s">
        <v>48</v>
      </c>
      <c r="B13" s="60">
        <v>150</v>
      </c>
      <c r="C13" s="60"/>
      <c r="D13" s="1" t="s">
        <v>47</v>
      </c>
      <c r="E13" s="52" t="s">
        <v>58</v>
      </c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>
        <v>550</v>
      </c>
      <c r="S13" s="20" t="s">
        <v>17</v>
      </c>
      <c r="T13" s="19">
        <f t="shared" si="0"/>
        <v>82500</v>
      </c>
    </row>
    <row r="15" spans="1:20" x14ac:dyDescent="0.25">
      <c r="A15" s="10" t="s">
        <v>38</v>
      </c>
      <c r="T15" s="18">
        <f>SUM(T1:T13)</f>
        <v>335250</v>
      </c>
    </row>
    <row r="16" spans="1:20" ht="18.75" x14ac:dyDescent="0.25">
      <c r="A16" s="12" t="s">
        <v>4</v>
      </c>
    </row>
    <row r="17" spans="1:20" x14ac:dyDescent="0.25">
      <c r="A17" s="10" t="s">
        <v>5</v>
      </c>
    </row>
    <row r="18" spans="1:20" x14ac:dyDescent="0.25">
      <c r="A18" s="1" t="s">
        <v>6</v>
      </c>
      <c r="B18" s="9">
        <v>90000</v>
      </c>
      <c r="C18" s="9">
        <f>B18/1764</f>
        <v>51.020408163265309</v>
      </c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>
        <v>1</v>
      </c>
      <c r="S18" t="s">
        <v>18</v>
      </c>
      <c r="T18" s="18">
        <f>B18*R18</f>
        <v>90000</v>
      </c>
    </row>
    <row r="19" spans="1:20" ht="15" customHeight="1" x14ac:dyDescent="0.25">
      <c r="A19" s="1" t="s">
        <v>7</v>
      </c>
      <c r="B19" s="9">
        <v>70000</v>
      </c>
      <c r="C19" s="9">
        <f>B19/1764</f>
        <v>39.682539682539684</v>
      </c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>
        <v>4</v>
      </c>
      <c r="S19" t="s">
        <v>18</v>
      </c>
      <c r="T19" s="18">
        <f>B19*R19</f>
        <v>280000</v>
      </c>
    </row>
    <row r="20" spans="1:20" ht="15" customHeight="1" x14ac:dyDescent="0.25">
      <c r="F20" s="55" t="s">
        <v>43</v>
      </c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</row>
    <row r="21" spans="1:20" ht="39" customHeight="1" x14ac:dyDescent="0.25">
      <c r="F21" s="57" t="s">
        <v>21</v>
      </c>
      <c r="G21" s="57"/>
      <c r="H21" s="57"/>
      <c r="I21" s="58" t="s">
        <v>22</v>
      </c>
      <c r="J21" s="58"/>
      <c r="K21" s="58"/>
      <c r="L21" s="59" t="s">
        <v>23</v>
      </c>
      <c r="M21" s="59"/>
      <c r="N21" s="59"/>
      <c r="O21" s="50" t="s">
        <v>24</v>
      </c>
      <c r="P21" s="50"/>
      <c r="Q21" s="50"/>
    </row>
    <row r="22" spans="1:20" ht="15" customHeight="1" x14ac:dyDescent="0.25">
      <c r="F22" s="4" t="s">
        <v>30</v>
      </c>
      <c r="G22" s="2" t="s">
        <v>31</v>
      </c>
      <c r="H22" s="2" t="s">
        <v>32</v>
      </c>
      <c r="I22" s="4" t="s">
        <v>30</v>
      </c>
      <c r="J22" s="2" t="s">
        <v>31</v>
      </c>
      <c r="K22" s="2" t="s">
        <v>32</v>
      </c>
      <c r="L22" s="4" t="s">
        <v>30</v>
      </c>
      <c r="M22" s="2" t="s">
        <v>31</v>
      </c>
      <c r="N22" s="2" t="s">
        <v>32</v>
      </c>
      <c r="O22" s="4" t="s">
        <v>30</v>
      </c>
      <c r="P22" s="2" t="s">
        <v>31</v>
      </c>
      <c r="Q22" s="2" t="s">
        <v>32</v>
      </c>
    </row>
    <row r="23" spans="1:20" x14ac:dyDescent="0.25">
      <c r="A23" s="53" t="s">
        <v>8</v>
      </c>
      <c r="B23" s="51">
        <v>56000</v>
      </c>
      <c r="C23" s="56">
        <f>B23/1764</f>
        <v>31.746031746031747</v>
      </c>
      <c r="D23" s="52" t="s">
        <v>49</v>
      </c>
      <c r="E23" t="s">
        <v>25</v>
      </c>
      <c r="F23" s="5" t="s">
        <v>33</v>
      </c>
      <c r="G23">
        <v>100</v>
      </c>
      <c r="H23">
        <f>$B$23*G23/100</f>
        <v>56000</v>
      </c>
      <c r="I23" s="5" t="s">
        <v>33</v>
      </c>
      <c r="J23">
        <v>100</v>
      </c>
      <c r="K23">
        <f>$B$23*J23/100</f>
        <v>56000</v>
      </c>
      <c r="L23" s="5" t="s">
        <v>33</v>
      </c>
      <c r="M23">
        <v>100</v>
      </c>
      <c r="N23">
        <f>$B$23*M23/100</f>
        <v>56000</v>
      </c>
      <c r="O23" s="5" t="s">
        <v>33</v>
      </c>
      <c r="P23">
        <v>100</v>
      </c>
      <c r="Q23">
        <f>$B$23*P23/100</f>
        <v>56000</v>
      </c>
    </row>
    <row r="24" spans="1:20" x14ac:dyDescent="0.25">
      <c r="A24" s="53"/>
      <c r="B24" s="51"/>
      <c r="C24" s="56"/>
      <c r="D24" s="52"/>
      <c r="E24" t="s">
        <v>26</v>
      </c>
      <c r="F24" s="5" t="s">
        <v>33</v>
      </c>
      <c r="G24">
        <v>80</v>
      </c>
      <c r="H24">
        <f>B23*G24/100</f>
        <v>44800</v>
      </c>
      <c r="I24" s="6" t="s">
        <v>34</v>
      </c>
      <c r="J24">
        <v>80</v>
      </c>
      <c r="K24">
        <f>$B$26*J24/100</f>
        <v>35800</v>
      </c>
      <c r="L24" s="6" t="s">
        <v>34</v>
      </c>
      <c r="M24">
        <v>70</v>
      </c>
      <c r="N24">
        <f>$B$26*M24/100</f>
        <v>31325</v>
      </c>
      <c r="O24" s="5" t="s">
        <v>33</v>
      </c>
      <c r="P24">
        <v>100</v>
      </c>
      <c r="Q24">
        <f>$B$23*P24/100</f>
        <v>56000</v>
      </c>
    </row>
    <row r="25" spans="1:20" x14ac:dyDescent="0.25">
      <c r="A25" s="53"/>
      <c r="B25" s="51"/>
      <c r="C25" s="56"/>
      <c r="D25" s="52"/>
      <c r="E25" t="s">
        <v>27</v>
      </c>
      <c r="F25" s="6" t="s">
        <v>34</v>
      </c>
      <c r="G25">
        <v>70</v>
      </c>
      <c r="H25">
        <f>$B$26*G25/100</f>
        <v>31325</v>
      </c>
      <c r="I25" s="6" t="s">
        <v>34</v>
      </c>
      <c r="J25">
        <v>50</v>
      </c>
      <c r="K25">
        <f>$B$26*J25/100</f>
        <v>22375</v>
      </c>
      <c r="L25" s="6" t="s">
        <v>34</v>
      </c>
      <c r="M25">
        <v>50</v>
      </c>
      <c r="N25">
        <f>$B$26*M25/100</f>
        <v>22375</v>
      </c>
      <c r="O25" s="6" t="s">
        <v>34</v>
      </c>
      <c r="P25">
        <v>80</v>
      </c>
      <c r="Q25">
        <f>$B$26*P25/100</f>
        <v>35800</v>
      </c>
    </row>
    <row r="26" spans="1:20" ht="15" customHeight="1" x14ac:dyDescent="0.25">
      <c r="A26" s="54" t="s">
        <v>9</v>
      </c>
      <c r="B26" s="51">
        <v>44750</v>
      </c>
      <c r="C26" s="56">
        <f t="shared" ref="C26" si="1">B26/1764</f>
        <v>25.368480725623584</v>
      </c>
      <c r="D26" s="52" t="s">
        <v>49</v>
      </c>
      <c r="E26" t="s">
        <v>28</v>
      </c>
      <c r="F26" s="7" t="s">
        <v>35</v>
      </c>
      <c r="G26">
        <v>60</v>
      </c>
      <c r="H26">
        <f>$B$29*G26/100</f>
        <v>18720</v>
      </c>
      <c r="O26" s="7" t="s">
        <v>35</v>
      </c>
      <c r="P26">
        <v>70</v>
      </c>
      <c r="Q26">
        <f>$B$29*P26/100</f>
        <v>21840</v>
      </c>
    </row>
    <row r="27" spans="1:20" x14ac:dyDescent="0.25">
      <c r="A27" s="54"/>
      <c r="B27" s="51"/>
      <c r="C27" s="56"/>
      <c r="D27" s="52"/>
      <c r="E27" t="s">
        <v>29</v>
      </c>
      <c r="O27" s="7" t="s">
        <v>35</v>
      </c>
      <c r="P27">
        <v>60</v>
      </c>
      <c r="Q27">
        <f>$B$29*P27/100</f>
        <v>18720</v>
      </c>
    </row>
    <row r="28" spans="1:20" x14ac:dyDescent="0.25">
      <c r="A28" s="54"/>
      <c r="B28" s="51"/>
      <c r="C28" s="56"/>
      <c r="D28" s="52"/>
      <c r="E28" s="3"/>
      <c r="F28" s="55" t="s">
        <v>36</v>
      </c>
      <c r="G28" s="55"/>
      <c r="H28">
        <f>SUM(H23:H27)</f>
        <v>150845</v>
      </c>
      <c r="I28" s="55" t="s">
        <v>36</v>
      </c>
      <c r="J28" s="55"/>
      <c r="K28">
        <f>SUM(K23:K27)</f>
        <v>114175</v>
      </c>
      <c r="L28" s="55" t="s">
        <v>36</v>
      </c>
      <c r="M28" s="55"/>
      <c r="N28">
        <f>SUM(N23:N27)</f>
        <v>109700</v>
      </c>
      <c r="O28" s="55" t="s">
        <v>36</v>
      </c>
      <c r="P28" s="55"/>
      <c r="Q28">
        <f>SUM(Q23:Q27)</f>
        <v>188360</v>
      </c>
      <c r="T28" s="18">
        <f>SUM(H28,K28,N28,Q28)</f>
        <v>563080</v>
      </c>
    </row>
    <row r="29" spans="1:20" ht="15" customHeight="1" x14ac:dyDescent="0.25">
      <c r="A29" s="50" t="s">
        <v>10</v>
      </c>
      <c r="B29" s="51">
        <v>31200</v>
      </c>
      <c r="C29" s="56">
        <f t="shared" ref="C29" si="2">B29/1764</f>
        <v>17.687074829931973</v>
      </c>
      <c r="D29" s="52" t="s">
        <v>49</v>
      </c>
    </row>
    <row r="30" spans="1:20" x14ac:dyDescent="0.25">
      <c r="A30" s="50"/>
      <c r="B30" s="51"/>
      <c r="C30" s="56"/>
      <c r="D30" s="52"/>
      <c r="T30" s="18">
        <f>SUM(T16:T29)</f>
        <v>933080</v>
      </c>
    </row>
    <row r="31" spans="1:20" x14ac:dyDescent="0.25">
      <c r="A31" s="50"/>
      <c r="B31" s="51"/>
      <c r="C31" s="56"/>
      <c r="D31" s="52"/>
    </row>
    <row r="32" spans="1:20" x14ac:dyDescent="0.25">
      <c r="A32" s="8" t="s">
        <v>39</v>
      </c>
      <c r="B32" s="11"/>
      <c r="C32" s="11"/>
      <c r="D32" s="2"/>
    </row>
    <row r="33" spans="1:20" x14ac:dyDescent="0.25">
      <c r="A33" s="8"/>
      <c r="B33" s="11"/>
      <c r="C33" s="11"/>
      <c r="D33" s="2"/>
    </row>
    <row r="34" spans="1:20" ht="30" customHeight="1" x14ac:dyDescent="0.25">
      <c r="A34" s="12" t="s">
        <v>11</v>
      </c>
      <c r="B34" s="24" t="s">
        <v>61</v>
      </c>
      <c r="C34" s="24" t="s">
        <v>64</v>
      </c>
      <c r="D34" s="23" t="s">
        <v>65</v>
      </c>
      <c r="E34" s="23" t="s">
        <v>62</v>
      </c>
      <c r="F34" s="23" t="s">
        <v>63</v>
      </c>
    </row>
    <row r="35" spans="1:20" x14ac:dyDescent="0.25">
      <c r="A35" s="23" t="s">
        <v>12</v>
      </c>
      <c r="B35" s="9">
        <v>10</v>
      </c>
      <c r="C35" s="22">
        <v>50</v>
      </c>
      <c r="D35" s="1">
        <v>8</v>
      </c>
      <c r="E35" s="1">
        <v>4</v>
      </c>
      <c r="F35">
        <v>20</v>
      </c>
      <c r="H35" s="47" t="s">
        <v>66</v>
      </c>
      <c r="I35" s="47"/>
      <c r="J35" s="47"/>
      <c r="K35" s="47"/>
      <c r="L35" s="47"/>
      <c r="M35" s="47"/>
      <c r="N35" s="47"/>
      <c r="O35" s="47"/>
      <c r="P35" s="47"/>
      <c r="Q35" s="47"/>
      <c r="R35" s="47"/>
      <c r="T35" s="18">
        <f>B35*C35*D35*E35*F35</f>
        <v>320000</v>
      </c>
    </row>
    <row r="36" spans="1:20" x14ac:dyDescent="0.25">
      <c r="B36" s="26" t="s">
        <v>67</v>
      </c>
      <c r="C36" s="26" t="s">
        <v>69</v>
      </c>
      <c r="D36" s="26" t="s">
        <v>68</v>
      </c>
      <c r="E36" s="25" t="s">
        <v>70</v>
      </c>
      <c r="F36" s="49" t="s">
        <v>71</v>
      </c>
      <c r="G36" s="49"/>
    </row>
    <row r="37" spans="1:20" x14ac:dyDescent="0.25">
      <c r="A37" s="25" t="s">
        <v>13</v>
      </c>
      <c r="B37" s="9">
        <v>20000</v>
      </c>
      <c r="C37" s="22">
        <v>3</v>
      </c>
      <c r="D37" s="9">
        <v>30000</v>
      </c>
      <c r="E37" s="1">
        <v>2</v>
      </c>
      <c r="F37" s="46">
        <v>10000</v>
      </c>
      <c r="G37" s="46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T37" s="18">
        <f>B37+C37*D37*0.4+E37*F37</f>
        <v>76000</v>
      </c>
    </row>
    <row r="38" spans="1:20" x14ac:dyDescent="0.25">
      <c r="B38" s="28" t="s">
        <v>72</v>
      </c>
      <c r="C38" s="28" t="s">
        <v>73</v>
      </c>
      <c r="D38" s="27" t="s">
        <v>61</v>
      </c>
      <c r="E38" s="27" t="s">
        <v>74</v>
      </c>
      <c r="F38" s="1"/>
    </row>
    <row r="39" spans="1:20" x14ac:dyDescent="0.25">
      <c r="A39" s="27" t="s">
        <v>14</v>
      </c>
      <c r="B39" s="9">
        <v>18000</v>
      </c>
      <c r="C39" s="9">
        <v>2500</v>
      </c>
      <c r="D39" s="1">
        <v>3</v>
      </c>
      <c r="E39" s="9">
        <v>23000</v>
      </c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T39" s="18">
        <f>B39+C39+D39*E39*0.4</f>
        <v>48100</v>
      </c>
    </row>
    <row r="40" spans="1:20" x14ac:dyDescent="0.25">
      <c r="B40" s="30" t="s">
        <v>75</v>
      </c>
      <c r="C40" s="31" t="s">
        <v>76</v>
      </c>
    </row>
    <row r="41" spans="1:20" x14ac:dyDescent="0.25">
      <c r="A41" s="29" t="s">
        <v>41</v>
      </c>
      <c r="B41" s="9">
        <v>150</v>
      </c>
      <c r="C41" s="22">
        <v>550</v>
      </c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T41" s="18">
        <f>B41*C41</f>
        <v>82500</v>
      </c>
    </row>
    <row r="42" spans="1:20" x14ac:dyDescent="0.25">
      <c r="A42" s="1" t="s">
        <v>60</v>
      </c>
    </row>
    <row r="43" spans="1:20" x14ac:dyDescent="0.25">
      <c r="T43" s="18">
        <f>SUM(T35:T41)</f>
        <v>526600</v>
      </c>
    </row>
    <row r="45" spans="1:20" ht="18.75" x14ac:dyDescent="0.25">
      <c r="A45" s="12" t="s">
        <v>77</v>
      </c>
      <c r="B45" s="21" t="s">
        <v>81</v>
      </c>
      <c r="C45" s="21" t="s">
        <v>82</v>
      </c>
      <c r="D45" s="1" t="s">
        <v>83</v>
      </c>
    </row>
    <row r="46" spans="1:20" x14ac:dyDescent="0.25">
      <c r="A46" s="34" t="s">
        <v>78</v>
      </c>
      <c r="B46" s="32">
        <v>1</v>
      </c>
      <c r="C46" s="33">
        <v>0.05</v>
      </c>
      <c r="D46" s="21">
        <f>T15</f>
        <v>335250</v>
      </c>
      <c r="E46" s="9">
        <f>D46*C46</f>
        <v>16762.5</v>
      </c>
      <c r="T46" s="18">
        <f>T15*C46</f>
        <v>16762.5</v>
      </c>
    </row>
    <row r="47" spans="1:20" x14ac:dyDescent="0.25">
      <c r="A47" s="25" t="s">
        <v>79</v>
      </c>
      <c r="B47" s="32">
        <v>2</v>
      </c>
      <c r="C47" s="33">
        <v>0.1</v>
      </c>
      <c r="D47" s="21">
        <f>T30</f>
        <v>933080</v>
      </c>
      <c r="E47" s="9">
        <f t="shared" ref="E47:E48" si="3">D47*C47</f>
        <v>93308</v>
      </c>
      <c r="T47" s="18">
        <f>T30*C47</f>
        <v>93308</v>
      </c>
    </row>
    <row r="48" spans="1:20" x14ac:dyDescent="0.25">
      <c r="A48" s="27" t="s">
        <v>80</v>
      </c>
      <c r="B48" s="32">
        <v>3</v>
      </c>
      <c r="C48" s="33">
        <v>0.15</v>
      </c>
      <c r="D48" s="21">
        <f>T43</f>
        <v>526600</v>
      </c>
      <c r="E48" s="9">
        <f t="shared" si="3"/>
        <v>78990</v>
      </c>
      <c r="T48" s="18">
        <f>T43*C48</f>
        <v>78990</v>
      </c>
    </row>
    <row r="49" spans="5:20" x14ac:dyDescent="0.25">
      <c r="T49" s="18">
        <f>SUM(T46:T48)</f>
        <v>189060.5</v>
      </c>
    </row>
    <row r="51" spans="5:20" x14ac:dyDescent="0.25">
      <c r="S51" s="52" t="s">
        <v>37</v>
      </c>
      <c r="T51" s="46">
        <f>T43+T30+T15+T49</f>
        <v>1983990.5</v>
      </c>
    </row>
    <row r="52" spans="5:20" x14ac:dyDescent="0.25">
      <c r="S52" s="52"/>
      <c r="T52" s="46"/>
    </row>
    <row r="53" spans="5:20" x14ac:dyDescent="0.25">
      <c r="E53" s="35" t="s">
        <v>84</v>
      </c>
    </row>
    <row r="54" spans="5:20" x14ac:dyDescent="0.25">
      <c r="E54" s="36" t="s">
        <v>85</v>
      </c>
      <c r="F54" s="40">
        <f>T15</f>
        <v>335250</v>
      </c>
      <c r="G54" s="40"/>
    </row>
    <row r="55" spans="5:20" x14ac:dyDescent="0.25">
      <c r="E55" s="36" t="s">
        <v>86</v>
      </c>
      <c r="F55" s="48">
        <f>T30</f>
        <v>933080</v>
      </c>
      <c r="G55" s="48"/>
    </row>
    <row r="56" spans="5:20" x14ac:dyDescent="0.25">
      <c r="E56" s="36" t="s">
        <v>80</v>
      </c>
      <c r="F56" s="40">
        <f>T43</f>
        <v>526600</v>
      </c>
      <c r="G56" s="40"/>
    </row>
    <row r="57" spans="5:20" x14ac:dyDescent="0.25">
      <c r="E57" s="36" t="s">
        <v>87</v>
      </c>
      <c r="F57" s="40">
        <f>T49</f>
        <v>189060.5</v>
      </c>
      <c r="G57" s="41"/>
    </row>
    <row r="58" spans="5:20" x14ac:dyDescent="0.25">
      <c r="E58" s="39" t="s">
        <v>88</v>
      </c>
      <c r="F58" s="42">
        <f>SUM(F54:G57)</f>
        <v>1983990.5</v>
      </c>
      <c r="G58" s="43"/>
    </row>
    <row r="59" spans="5:20" x14ac:dyDescent="0.25">
      <c r="E59" s="37" t="s">
        <v>89</v>
      </c>
      <c r="F59" s="44">
        <f>F58*0.12</f>
        <v>238078.86</v>
      </c>
      <c r="G59" s="45"/>
    </row>
    <row r="60" spans="5:20" x14ac:dyDescent="0.25">
      <c r="E60" s="38" t="s">
        <v>90</v>
      </c>
      <c r="F60" s="46">
        <f>F59+F58</f>
        <v>2222069.36</v>
      </c>
      <c r="G60" s="47"/>
    </row>
  </sheetData>
  <mergeCells count="62">
    <mergeCell ref="B12:C12"/>
    <mergeCell ref="B13:C13"/>
    <mergeCell ref="B8:C8"/>
    <mergeCell ref="B1:C1"/>
    <mergeCell ref="E1:Q1"/>
    <mergeCell ref="E4:Q4"/>
    <mergeCell ref="E5:Q5"/>
    <mergeCell ref="E6:Q6"/>
    <mergeCell ref="E7:Q7"/>
    <mergeCell ref="E8:Q8"/>
    <mergeCell ref="E11:Q11"/>
    <mergeCell ref="B11:C11"/>
    <mergeCell ref="S51:S52"/>
    <mergeCell ref="T51:T52"/>
    <mergeCell ref="B3:C3"/>
    <mergeCell ref="B4:C4"/>
    <mergeCell ref="B5:C5"/>
    <mergeCell ref="B6:C6"/>
    <mergeCell ref="B7:C7"/>
    <mergeCell ref="B9:C9"/>
    <mergeCell ref="B10:C10"/>
    <mergeCell ref="E9:Q9"/>
    <mergeCell ref="E10:Q10"/>
    <mergeCell ref="E12:Q12"/>
    <mergeCell ref="E13:Q13"/>
    <mergeCell ref="E18:Q18"/>
    <mergeCell ref="E19:Q19"/>
    <mergeCell ref="E3:Q3"/>
    <mergeCell ref="A23:A25"/>
    <mergeCell ref="A26:A28"/>
    <mergeCell ref="O28:P28"/>
    <mergeCell ref="F20:Q20"/>
    <mergeCell ref="C23:C25"/>
    <mergeCell ref="C26:C28"/>
    <mergeCell ref="F21:H21"/>
    <mergeCell ref="I21:K21"/>
    <mergeCell ref="L21:N21"/>
    <mergeCell ref="O21:Q21"/>
    <mergeCell ref="F28:G28"/>
    <mergeCell ref="I28:J28"/>
    <mergeCell ref="L28:M28"/>
    <mergeCell ref="B23:B25"/>
    <mergeCell ref="B26:B28"/>
    <mergeCell ref="B29:B31"/>
    <mergeCell ref="D23:D25"/>
    <mergeCell ref="D26:D28"/>
    <mergeCell ref="D29:D31"/>
    <mergeCell ref="C29:C31"/>
    <mergeCell ref="H35:R35"/>
    <mergeCell ref="F36:G36"/>
    <mergeCell ref="F37:G37"/>
    <mergeCell ref="H37:R37"/>
    <mergeCell ref="A29:A31"/>
    <mergeCell ref="F57:G57"/>
    <mergeCell ref="F58:G58"/>
    <mergeCell ref="F59:G59"/>
    <mergeCell ref="F60:G60"/>
    <mergeCell ref="H39:R39"/>
    <mergeCell ref="H41:R41"/>
    <mergeCell ref="F54:G54"/>
    <mergeCell ref="F55:G55"/>
    <mergeCell ref="F56:G5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Paniagua</dc:creator>
  <cp:lastModifiedBy>Arturo Paniagua</cp:lastModifiedBy>
  <dcterms:created xsi:type="dcterms:W3CDTF">2018-12-17T10:18:10Z</dcterms:created>
  <dcterms:modified xsi:type="dcterms:W3CDTF">2018-12-19T13:46:23Z</dcterms:modified>
</cp:coreProperties>
</file>