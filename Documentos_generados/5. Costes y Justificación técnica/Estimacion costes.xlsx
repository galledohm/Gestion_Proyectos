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30" windowWidth="23715" windowHeight="10050"/>
  </bookViews>
  <sheets>
    <sheet name="Hoja1" sheetId="1" r:id="rId1"/>
    <sheet name="Hoja2" sheetId="2" r:id="rId2"/>
    <sheet name="Hoja3" sheetId="3" r:id="rId3"/>
  </sheets>
  <calcPr calcId="145621"/>
</workbook>
</file>

<file path=xl/calcChain.xml><?xml version="1.0" encoding="utf-8"?>
<calcChain xmlns="http://schemas.openxmlformats.org/spreadsheetml/2006/main">
  <c r="T38" i="1" l="1"/>
  <c r="T35" i="1"/>
  <c r="T36" i="1"/>
  <c r="T37" i="1"/>
  <c r="T34" i="1"/>
  <c r="T10" i="1"/>
  <c r="T11" i="1"/>
  <c r="T12" i="1"/>
  <c r="C17" i="1"/>
  <c r="C18" i="1"/>
  <c r="C22" i="1"/>
  <c r="C25" i="1"/>
  <c r="C28" i="1"/>
  <c r="T9" i="1"/>
  <c r="Q26" i="1"/>
  <c r="Q25" i="1"/>
  <c r="H25" i="1"/>
  <c r="H24" i="1"/>
  <c r="Q24" i="1"/>
  <c r="N24" i="1"/>
  <c r="N23" i="1"/>
  <c r="Q23" i="1"/>
  <c r="Q22" i="1"/>
  <c r="N22" i="1"/>
  <c r="H22" i="1"/>
  <c r="K24" i="1"/>
  <c r="K23" i="1"/>
  <c r="K22" i="1"/>
  <c r="H23" i="1"/>
  <c r="H27" i="1" l="1"/>
  <c r="N27" i="1"/>
  <c r="Q27" i="1"/>
  <c r="K27" i="1"/>
  <c r="T5" i="1"/>
  <c r="T6" i="1"/>
  <c r="T3" i="1"/>
  <c r="T18" i="1"/>
  <c r="T17" i="1"/>
  <c r="T7" i="1"/>
  <c r="T14" i="1" l="1"/>
  <c r="T39" i="1" s="1"/>
  <c r="T27" i="1"/>
  <c r="T29" i="1" s="1"/>
</calcChain>
</file>

<file path=xl/sharedStrings.xml><?xml version="1.0" encoding="utf-8"?>
<sst xmlns="http://schemas.openxmlformats.org/spreadsheetml/2006/main" count="104" uniqueCount="63">
  <si>
    <t>Estimación costes</t>
  </si>
  <si>
    <t>Alquiler</t>
  </si>
  <si>
    <t>Telefonos + tarifas</t>
  </si>
  <si>
    <t>Ordenadores</t>
  </si>
  <si>
    <t>Costes RRHH</t>
  </si>
  <si>
    <t>Nóminas</t>
  </si>
  <si>
    <t>CEO</t>
  </si>
  <si>
    <t>Jefe departamento</t>
  </si>
  <si>
    <t>Puesto Categoria A</t>
  </si>
  <si>
    <t>Puesto Categoria B</t>
  </si>
  <si>
    <t>Puesto Categoria C</t>
  </si>
  <si>
    <t>Costes Subcontrataciones</t>
  </si>
  <si>
    <t>Coste empresa SW</t>
  </si>
  <si>
    <t>Coste del reparto</t>
  </si>
  <si>
    <t>Coste Call Center</t>
  </si>
  <si>
    <t>€/mes</t>
  </si>
  <si>
    <t># meses</t>
  </si>
  <si>
    <t>#unidades</t>
  </si>
  <si>
    <t>#empleados</t>
  </si>
  <si>
    <t>coste/(unidad*año)</t>
  </si>
  <si>
    <t>Paquete Office</t>
  </si>
  <si>
    <t>Departamento finanzas</t>
  </si>
  <si>
    <t>Departamento RRHH</t>
  </si>
  <si>
    <t>Departamento Marketing</t>
  </si>
  <si>
    <t>Departamento Calidad</t>
  </si>
  <si>
    <t>Empleado 1</t>
  </si>
  <si>
    <t>Empleado 2</t>
  </si>
  <si>
    <t>Empleado 3</t>
  </si>
  <si>
    <t>Empleado 4</t>
  </si>
  <si>
    <t>Empleado 5</t>
  </si>
  <si>
    <t>Categoria</t>
  </si>
  <si>
    <t>%</t>
  </si>
  <si>
    <t>Coste</t>
  </si>
  <si>
    <t>A</t>
  </si>
  <si>
    <t>B</t>
  </si>
  <si>
    <t xml:space="preserve">C </t>
  </si>
  <si>
    <t>Tot. Dept</t>
  </si>
  <si>
    <t>TOTAL</t>
  </si>
  <si>
    <t>TOTAL COSTE MATERIAL</t>
  </si>
  <si>
    <t>TOTAL RRHH</t>
  </si>
  <si>
    <t>Material de Oficina</t>
  </si>
  <si>
    <t>Coste Centro de datos</t>
  </si>
  <si>
    <t>Unidades</t>
  </si>
  <si>
    <t>DESGLOSE POR DEPARTAMENTOS</t>
  </si>
  <si>
    <t>MATERIAL SANITARIO</t>
  </si>
  <si>
    <t>Báscula</t>
  </si>
  <si>
    <t>Medidores de azucar</t>
  </si>
  <si>
    <t>medidores de tensión</t>
  </si>
  <si>
    <t>unidad</t>
  </si>
  <si>
    <t>Tablets</t>
  </si>
  <si>
    <t>Coste Para la empresa (valoracion €/h)</t>
  </si>
  <si>
    <t>Alquiler de la oficina</t>
  </si>
  <si>
    <t>Material de oficina estandar. (Folios, boligrafos, material impresora….)</t>
  </si>
  <si>
    <t>Teléfonos + tarífa de los empleados</t>
  </si>
  <si>
    <t>Ordenadores portatiles con gran capacidad. Fundamentales para el desempeño del trabajo</t>
  </si>
  <si>
    <t>Necesario para el desarrollo del proyecto</t>
  </si>
  <si>
    <t>Báscula con capacidad de comunicación Bluetooth, compatible con la table y con el SW</t>
  </si>
  <si>
    <t>Medidores de azucar. Capacidad de sincronización Bluetooth con el SW</t>
  </si>
  <si>
    <t>Medidores de tensió. Capacidad de sincronización Bluetooth con el SW</t>
  </si>
  <si>
    <t>Tablet con memoria y procesador sufience para soportar el SW desarrollado. Cámara de alta calidad. Necesaria para que el paciente se pueda poner en contato tanto con el call center como con su médico.</t>
  </si>
  <si>
    <t>COMENTARIOS</t>
  </si>
  <si>
    <t>TOTAL SUBCONTRATACIONES</t>
  </si>
  <si>
    <t>Costes Maateriales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</si>
</sst>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\ &quot;€&quot;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/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7" borderId="0" xfId="0" applyFill="1"/>
    <xf numFmtId="0" fontId="0" fillId="7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8" borderId="0" xfId="0" applyFill="1"/>
    <xf numFmtId="0" fontId="0" fillId="5" borderId="0" xfId="0" applyFill="1"/>
    <xf numFmtId="0" fontId="0" fillId="0" borderId="0" xfId="0" applyFill="1" applyAlignment="1">
      <alignment horizontal="center" vertical="center" wrapText="1"/>
    </xf>
    <xf numFmtId="164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 applyAlignment="1">
      <alignment horizontal="center" vertical="center"/>
    </xf>
    <xf numFmtId="164" fontId="6" fillId="0" borderId="0" xfId="0" applyNumberFormat="1" applyFont="1"/>
    <xf numFmtId="0" fontId="6" fillId="0" borderId="0" xfId="0" applyFont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right"/>
    </xf>
    <xf numFmtId="164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center"/>
    </xf>
    <xf numFmtId="164" fontId="0" fillId="0" borderId="0" xfId="0" applyNumberFormat="1" applyAlignment="1">
      <alignment horizontal="right" vertical="center" wrapText="1"/>
    </xf>
    <xf numFmtId="164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0"/>
  <sheetViews>
    <sheetView tabSelected="1" workbookViewId="0">
      <selection activeCell="B11" sqref="B11:C11"/>
    </sheetView>
  </sheetViews>
  <sheetFormatPr baseColWidth="10" defaultRowHeight="15" x14ac:dyDescent="0.25"/>
  <cols>
    <col min="1" max="1" width="30.42578125" style="1" bestFit="1" customWidth="1"/>
    <col min="2" max="2" width="13.5703125" style="17" customWidth="1"/>
    <col min="3" max="3" width="11.42578125" style="17"/>
    <col min="4" max="4" width="18.5703125" style="1" bestFit="1" customWidth="1"/>
    <col min="5" max="5" width="18.5703125" customWidth="1"/>
    <col min="6" max="6" width="9.42578125" bestFit="1" customWidth="1"/>
    <col min="7" max="7" width="5.7109375" customWidth="1"/>
    <col min="8" max="8" width="7.7109375" customWidth="1"/>
    <col min="9" max="9" width="9.42578125" bestFit="1" customWidth="1"/>
    <col min="10" max="10" width="5.7109375" customWidth="1"/>
    <col min="11" max="11" width="7.7109375" customWidth="1"/>
    <col min="12" max="12" width="9.42578125" bestFit="1" customWidth="1"/>
    <col min="13" max="13" width="5.7109375" customWidth="1"/>
    <col min="14" max="14" width="7.7109375" customWidth="1"/>
    <col min="15" max="15" width="9.42578125" bestFit="1" customWidth="1"/>
    <col min="16" max="16" width="5.7109375" customWidth="1"/>
    <col min="17" max="18" width="7.7109375" customWidth="1"/>
    <col min="19" max="19" width="16.7109375" bestFit="1" customWidth="1"/>
    <col min="20" max="20" width="13.7109375" style="31" customWidth="1"/>
  </cols>
  <sheetData>
    <row r="1" spans="1:20" s="24" customFormat="1" ht="26.25" x14ac:dyDescent="0.4">
      <c r="A1" s="23" t="s">
        <v>0</v>
      </c>
      <c r="B1" s="26" t="s">
        <v>32</v>
      </c>
      <c r="C1" s="26"/>
      <c r="D1" s="27" t="s">
        <v>42</v>
      </c>
      <c r="E1" s="29" t="s">
        <v>60</v>
      </c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8"/>
      <c r="S1" s="28" t="s">
        <v>42</v>
      </c>
      <c r="T1" s="30" t="s">
        <v>32</v>
      </c>
    </row>
    <row r="2" spans="1:20" ht="18.75" x14ac:dyDescent="0.25">
      <c r="A2" s="22" t="s">
        <v>62</v>
      </c>
    </row>
    <row r="3" spans="1:20" x14ac:dyDescent="0.25">
      <c r="A3" s="1" t="s">
        <v>1</v>
      </c>
      <c r="B3" s="34">
        <v>2000</v>
      </c>
      <c r="C3" s="34"/>
      <c r="D3" s="1" t="s">
        <v>15</v>
      </c>
      <c r="E3" s="4" t="s">
        <v>51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>
        <v>12</v>
      </c>
      <c r="S3" t="s">
        <v>16</v>
      </c>
      <c r="T3" s="31">
        <f>B3*R3</f>
        <v>24000</v>
      </c>
    </row>
    <row r="4" spans="1:20" x14ac:dyDescent="0.25">
      <c r="A4" s="1" t="s">
        <v>40</v>
      </c>
      <c r="B4" s="34">
        <v>500</v>
      </c>
      <c r="C4" s="34"/>
      <c r="E4" s="4" t="s">
        <v>52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T4" s="31">
        <v>500</v>
      </c>
    </row>
    <row r="5" spans="1:20" x14ac:dyDescent="0.25">
      <c r="A5" s="1" t="s">
        <v>2</v>
      </c>
      <c r="B5" s="34">
        <v>250</v>
      </c>
      <c r="C5" s="34"/>
      <c r="D5" s="1" t="s">
        <v>19</v>
      </c>
      <c r="E5" s="4" t="s">
        <v>53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>
        <v>20</v>
      </c>
      <c r="S5" t="s">
        <v>17</v>
      </c>
      <c r="T5" s="31">
        <f>B5*R5</f>
        <v>5000</v>
      </c>
    </row>
    <row r="6" spans="1:20" x14ac:dyDescent="0.25">
      <c r="A6" s="1" t="s">
        <v>3</v>
      </c>
      <c r="B6" s="34">
        <v>700</v>
      </c>
      <c r="C6" s="34"/>
      <c r="D6" s="1" t="s">
        <v>19</v>
      </c>
      <c r="E6" s="4" t="s">
        <v>54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>
        <v>20</v>
      </c>
      <c r="S6" t="s">
        <v>17</v>
      </c>
      <c r="T6" s="31">
        <f>B6*R6</f>
        <v>14000</v>
      </c>
    </row>
    <row r="7" spans="1:20" x14ac:dyDescent="0.25">
      <c r="A7" s="1" t="s">
        <v>20</v>
      </c>
      <c r="B7" s="34">
        <v>150</v>
      </c>
      <c r="C7" s="34"/>
      <c r="D7" s="1" t="s">
        <v>19</v>
      </c>
      <c r="E7" s="4" t="s">
        <v>55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>
        <v>20</v>
      </c>
      <c r="S7" t="s">
        <v>17</v>
      </c>
      <c r="T7" s="31">
        <f>B7*R7</f>
        <v>3000</v>
      </c>
    </row>
    <row r="8" spans="1:20" x14ac:dyDescent="0.25">
      <c r="A8" s="25" t="s">
        <v>44</v>
      </c>
      <c r="B8" s="34"/>
      <c r="C8" s="3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spans="1:20" x14ac:dyDescent="0.25">
      <c r="A9" s="1" t="s">
        <v>45</v>
      </c>
      <c r="B9" s="34">
        <v>50</v>
      </c>
      <c r="C9" s="34"/>
      <c r="D9" s="1" t="s">
        <v>48</v>
      </c>
      <c r="E9" s="4" t="s">
        <v>56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>
        <v>160</v>
      </c>
      <c r="S9" t="s">
        <v>17</v>
      </c>
      <c r="T9" s="31">
        <f>B9*R9</f>
        <v>8000</v>
      </c>
    </row>
    <row r="10" spans="1:20" x14ac:dyDescent="0.25">
      <c r="A10" s="1" t="s">
        <v>46</v>
      </c>
      <c r="B10" s="34">
        <v>20</v>
      </c>
      <c r="C10" s="34"/>
      <c r="D10" s="1" t="s">
        <v>48</v>
      </c>
      <c r="E10" s="4" t="s">
        <v>57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>
        <v>160</v>
      </c>
      <c r="S10" t="s">
        <v>17</v>
      </c>
      <c r="T10" s="31">
        <f t="shared" ref="T10:T12" si="0">B10*R10</f>
        <v>3200</v>
      </c>
    </row>
    <row r="11" spans="1:20" x14ac:dyDescent="0.25">
      <c r="A11" s="1" t="s">
        <v>47</v>
      </c>
      <c r="B11" s="34">
        <v>37.5</v>
      </c>
      <c r="C11" s="34"/>
      <c r="D11" s="1" t="s">
        <v>48</v>
      </c>
      <c r="E11" s="4" t="s">
        <v>58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>
        <v>160</v>
      </c>
      <c r="S11" t="s">
        <v>17</v>
      </c>
      <c r="T11" s="31">
        <f t="shared" si="0"/>
        <v>6000</v>
      </c>
    </row>
    <row r="12" spans="1:20" s="1" customFormat="1" ht="30" customHeight="1" x14ac:dyDescent="0.25">
      <c r="A12" s="1" t="s">
        <v>49</v>
      </c>
      <c r="B12" s="36">
        <v>150</v>
      </c>
      <c r="C12" s="36"/>
      <c r="D12" s="1" t="s">
        <v>48</v>
      </c>
      <c r="E12" s="3" t="s">
        <v>59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1">
        <v>160</v>
      </c>
      <c r="S12" s="33" t="s">
        <v>17</v>
      </c>
      <c r="T12" s="32">
        <f t="shared" si="0"/>
        <v>24000</v>
      </c>
    </row>
    <row r="14" spans="1:20" x14ac:dyDescent="0.25">
      <c r="A14" s="19" t="s">
        <v>38</v>
      </c>
      <c r="T14" s="31">
        <f>SUM(T1:T12)</f>
        <v>87700</v>
      </c>
    </row>
    <row r="15" spans="1:20" ht="18.75" x14ac:dyDescent="0.25">
      <c r="A15" s="22" t="s">
        <v>4</v>
      </c>
    </row>
    <row r="16" spans="1:20" x14ac:dyDescent="0.25">
      <c r="A16" s="19" t="s">
        <v>5</v>
      </c>
    </row>
    <row r="17" spans="1:20" x14ac:dyDescent="0.25">
      <c r="A17" s="1" t="s">
        <v>6</v>
      </c>
      <c r="B17" s="17">
        <v>90000</v>
      </c>
      <c r="C17" s="17">
        <f>B17/1764</f>
        <v>51.020408163265309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>
        <v>1</v>
      </c>
      <c r="S17" t="s">
        <v>18</v>
      </c>
      <c r="T17" s="31">
        <f>B17*R17</f>
        <v>90000</v>
      </c>
    </row>
    <row r="18" spans="1:20" ht="15" customHeight="1" x14ac:dyDescent="0.25">
      <c r="A18" s="1" t="s">
        <v>7</v>
      </c>
      <c r="B18" s="17">
        <v>70000</v>
      </c>
      <c r="C18" s="17">
        <f>B18/1764</f>
        <v>39.682539682539684</v>
      </c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>
        <v>4</v>
      </c>
      <c r="S18" t="s">
        <v>18</v>
      </c>
      <c r="T18" s="31">
        <f>B18*R18</f>
        <v>280000</v>
      </c>
    </row>
    <row r="19" spans="1:20" ht="15" customHeight="1" x14ac:dyDescent="0.25">
      <c r="F19" s="18" t="s">
        <v>43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</row>
    <row r="20" spans="1:20" ht="39" customHeight="1" x14ac:dyDescent="0.25">
      <c r="F20" s="6" t="s">
        <v>21</v>
      </c>
      <c r="G20" s="6"/>
      <c r="H20" s="6"/>
      <c r="I20" s="7" t="s">
        <v>22</v>
      </c>
      <c r="J20" s="7"/>
      <c r="K20" s="7"/>
      <c r="L20" s="8" t="s">
        <v>23</v>
      </c>
      <c r="M20" s="8"/>
      <c r="N20" s="8"/>
      <c r="O20" s="9" t="s">
        <v>24</v>
      </c>
      <c r="P20" s="9"/>
      <c r="Q20" s="9"/>
    </row>
    <row r="21" spans="1:20" ht="15" customHeight="1" x14ac:dyDescent="0.25">
      <c r="F21" s="10" t="s">
        <v>30</v>
      </c>
      <c r="G21" s="2" t="s">
        <v>31</v>
      </c>
      <c r="H21" s="2" t="s">
        <v>32</v>
      </c>
      <c r="I21" s="10" t="s">
        <v>30</v>
      </c>
      <c r="J21" s="2" t="s">
        <v>31</v>
      </c>
      <c r="K21" s="2" t="s">
        <v>32</v>
      </c>
      <c r="L21" s="10" t="s">
        <v>30</v>
      </c>
      <c r="M21" s="2" t="s">
        <v>31</v>
      </c>
      <c r="N21" s="2" t="s">
        <v>32</v>
      </c>
      <c r="O21" s="10" t="s">
        <v>30</v>
      </c>
      <c r="P21" s="2" t="s">
        <v>31</v>
      </c>
      <c r="Q21" s="2" t="s">
        <v>32</v>
      </c>
    </row>
    <row r="22" spans="1:20" x14ac:dyDescent="0.25">
      <c r="A22" s="12" t="s">
        <v>8</v>
      </c>
      <c r="B22" s="35">
        <v>56000</v>
      </c>
      <c r="C22" s="20">
        <f>B22/1764</f>
        <v>31.746031746031747</v>
      </c>
      <c r="D22" s="3" t="s">
        <v>50</v>
      </c>
      <c r="E22" t="s">
        <v>25</v>
      </c>
      <c r="F22" s="11" t="s">
        <v>33</v>
      </c>
      <c r="G22">
        <v>100</v>
      </c>
      <c r="H22">
        <f>$B$22*G22/100</f>
        <v>56000</v>
      </c>
      <c r="I22" s="11" t="s">
        <v>33</v>
      </c>
      <c r="J22">
        <v>100</v>
      </c>
      <c r="K22">
        <f>$B$22*J22/100</f>
        <v>56000</v>
      </c>
      <c r="L22" s="11" t="s">
        <v>33</v>
      </c>
      <c r="M22">
        <v>100</v>
      </c>
      <c r="N22">
        <f>$B$22*M22/100</f>
        <v>56000</v>
      </c>
      <c r="O22" s="11" t="s">
        <v>33</v>
      </c>
      <c r="P22">
        <v>100</v>
      </c>
      <c r="Q22">
        <f>$B$22*P22/100</f>
        <v>56000</v>
      </c>
    </row>
    <row r="23" spans="1:20" x14ac:dyDescent="0.25">
      <c r="A23" s="12"/>
      <c r="B23" s="35"/>
      <c r="C23" s="20"/>
      <c r="D23" s="3"/>
      <c r="E23" t="s">
        <v>26</v>
      </c>
      <c r="F23" s="11" t="s">
        <v>33</v>
      </c>
      <c r="G23">
        <v>80</v>
      </c>
      <c r="H23">
        <f>B22*G23/100</f>
        <v>44800</v>
      </c>
      <c r="I23" s="14" t="s">
        <v>34</v>
      </c>
      <c r="J23">
        <v>80</v>
      </c>
      <c r="K23">
        <f>$B$25*J23/100</f>
        <v>35800</v>
      </c>
      <c r="L23" s="14" t="s">
        <v>34</v>
      </c>
      <c r="M23">
        <v>70</v>
      </c>
      <c r="N23">
        <f>$B$25*M23/100</f>
        <v>31325</v>
      </c>
      <c r="O23" s="11" t="s">
        <v>33</v>
      </c>
      <c r="P23">
        <v>100</v>
      </c>
      <c r="Q23">
        <f>$B$22*P23/100</f>
        <v>56000</v>
      </c>
    </row>
    <row r="24" spans="1:20" x14ac:dyDescent="0.25">
      <c r="A24" s="12"/>
      <c r="B24" s="35"/>
      <c r="C24" s="20"/>
      <c r="D24" s="3"/>
      <c r="E24" t="s">
        <v>27</v>
      </c>
      <c r="F24" s="14" t="s">
        <v>34</v>
      </c>
      <c r="G24">
        <v>70</v>
      </c>
      <c r="H24">
        <f>$B$25*G24/100</f>
        <v>31325</v>
      </c>
      <c r="I24" s="14" t="s">
        <v>34</v>
      </c>
      <c r="J24">
        <v>50</v>
      </c>
      <c r="K24">
        <f>$B$25*J24/100</f>
        <v>22375</v>
      </c>
      <c r="L24" s="14" t="s">
        <v>34</v>
      </c>
      <c r="M24">
        <v>50</v>
      </c>
      <c r="N24">
        <f>$B$25*M24/100</f>
        <v>22375</v>
      </c>
      <c r="O24" s="14" t="s">
        <v>34</v>
      </c>
      <c r="P24">
        <v>80</v>
      </c>
      <c r="Q24">
        <f>$B$25*P24/100</f>
        <v>35800</v>
      </c>
    </row>
    <row r="25" spans="1:20" ht="15" customHeight="1" x14ac:dyDescent="0.25">
      <c r="A25" s="13" t="s">
        <v>9</v>
      </c>
      <c r="B25" s="35">
        <v>44750</v>
      </c>
      <c r="C25" s="20">
        <f t="shared" ref="C25" si="1">B25/1764</f>
        <v>25.368480725623584</v>
      </c>
      <c r="D25" s="3" t="s">
        <v>50</v>
      </c>
      <c r="E25" t="s">
        <v>28</v>
      </c>
      <c r="F25" s="15" t="s">
        <v>35</v>
      </c>
      <c r="G25">
        <v>60</v>
      </c>
      <c r="H25">
        <f>$B$28*G25/100</f>
        <v>18720</v>
      </c>
      <c r="O25" s="15" t="s">
        <v>35</v>
      </c>
      <c r="P25">
        <v>70</v>
      </c>
      <c r="Q25">
        <f>$B$28*P25/100</f>
        <v>21840</v>
      </c>
    </row>
    <row r="26" spans="1:20" x14ac:dyDescent="0.25">
      <c r="A26" s="13"/>
      <c r="B26" s="35"/>
      <c r="C26" s="20"/>
      <c r="D26" s="3"/>
      <c r="E26" t="s">
        <v>29</v>
      </c>
      <c r="O26" s="15" t="s">
        <v>35</v>
      </c>
      <c r="P26">
        <v>60</v>
      </c>
      <c r="Q26">
        <f>$B$28*P26/100</f>
        <v>18720</v>
      </c>
    </row>
    <row r="27" spans="1:20" x14ac:dyDescent="0.25">
      <c r="A27" s="13"/>
      <c r="B27" s="35"/>
      <c r="C27" s="20"/>
      <c r="D27" s="3"/>
      <c r="E27" s="5"/>
      <c r="F27" s="18" t="s">
        <v>36</v>
      </c>
      <c r="G27" s="18"/>
      <c r="H27">
        <f>SUM(H22:H26)</f>
        <v>150845</v>
      </c>
      <c r="I27" s="18" t="s">
        <v>36</v>
      </c>
      <c r="J27" s="18"/>
      <c r="K27">
        <f>SUM(K22:K26)</f>
        <v>114175</v>
      </c>
      <c r="L27" s="18" t="s">
        <v>36</v>
      </c>
      <c r="M27" s="18"/>
      <c r="N27">
        <f>SUM(N22:N26)</f>
        <v>109700</v>
      </c>
      <c r="O27" s="18" t="s">
        <v>36</v>
      </c>
      <c r="P27" s="18"/>
      <c r="Q27">
        <f>SUM(Q22:Q26)</f>
        <v>188360</v>
      </c>
      <c r="T27" s="31">
        <f>SUM(H27,K27,N27,Q27)</f>
        <v>563080</v>
      </c>
    </row>
    <row r="28" spans="1:20" ht="15" customHeight="1" x14ac:dyDescent="0.25">
      <c r="A28" s="9" t="s">
        <v>10</v>
      </c>
      <c r="B28" s="35">
        <v>31200</v>
      </c>
      <c r="C28" s="20">
        <f t="shared" ref="C28" si="2">B28/1764</f>
        <v>17.687074829931973</v>
      </c>
      <c r="D28" s="3" t="s">
        <v>50</v>
      </c>
    </row>
    <row r="29" spans="1:20" x14ac:dyDescent="0.25">
      <c r="A29" s="9"/>
      <c r="B29" s="35"/>
      <c r="C29" s="20"/>
      <c r="D29" s="3"/>
      <c r="T29" s="31">
        <f>SUM(T15:T28)</f>
        <v>933080</v>
      </c>
    </row>
    <row r="30" spans="1:20" x14ac:dyDescent="0.25">
      <c r="A30" s="9"/>
      <c r="B30" s="35"/>
      <c r="C30" s="20"/>
      <c r="D30" s="3"/>
    </row>
    <row r="31" spans="1:20" x14ac:dyDescent="0.25">
      <c r="A31" s="16" t="s">
        <v>39</v>
      </c>
      <c r="B31" s="21"/>
      <c r="C31" s="21"/>
      <c r="D31" s="2"/>
    </row>
    <row r="32" spans="1:20" x14ac:dyDescent="0.25">
      <c r="A32" s="16"/>
      <c r="B32" s="21"/>
      <c r="C32" s="21"/>
      <c r="D32" s="2"/>
    </row>
    <row r="33" spans="1:20" ht="18.75" x14ac:dyDescent="0.25">
      <c r="A33" s="22" t="s">
        <v>11</v>
      </c>
    </row>
    <row r="34" spans="1:20" x14ac:dyDescent="0.25">
      <c r="A34" s="1" t="s">
        <v>12</v>
      </c>
      <c r="B34" s="17">
        <v>200000</v>
      </c>
      <c r="T34" s="31">
        <f>B34</f>
        <v>200000</v>
      </c>
    </row>
    <row r="35" spans="1:20" x14ac:dyDescent="0.25">
      <c r="A35" s="1" t="s">
        <v>13</v>
      </c>
      <c r="B35" s="17">
        <v>120000</v>
      </c>
      <c r="T35" s="31">
        <f>B35</f>
        <v>120000</v>
      </c>
    </row>
    <row r="36" spans="1:20" x14ac:dyDescent="0.25">
      <c r="A36" s="1" t="s">
        <v>14</v>
      </c>
      <c r="B36" s="17">
        <v>80000</v>
      </c>
      <c r="T36" s="31">
        <f>B36</f>
        <v>80000</v>
      </c>
    </row>
    <row r="37" spans="1:20" x14ac:dyDescent="0.25">
      <c r="A37" s="1" t="s">
        <v>41</v>
      </c>
      <c r="B37" s="17">
        <v>60000</v>
      </c>
      <c r="T37" s="31">
        <f>B37</f>
        <v>60000</v>
      </c>
    </row>
    <row r="38" spans="1:20" x14ac:dyDescent="0.25">
      <c r="A38" s="1" t="s">
        <v>61</v>
      </c>
      <c r="T38" s="31">
        <f>SUM(T34:T37)</f>
        <v>460000</v>
      </c>
    </row>
    <row r="39" spans="1:20" x14ac:dyDescent="0.25">
      <c r="S39" s="3" t="s">
        <v>37</v>
      </c>
      <c r="T39" s="34">
        <f>T38+T29+T14</f>
        <v>1480780</v>
      </c>
    </row>
    <row r="40" spans="1:20" x14ac:dyDescent="0.25">
      <c r="S40" s="3"/>
      <c r="T40" s="34"/>
    </row>
  </sheetData>
  <mergeCells count="46">
    <mergeCell ref="B11:C11"/>
    <mergeCell ref="B12:C12"/>
    <mergeCell ref="B8:C8"/>
    <mergeCell ref="E1:Q1"/>
    <mergeCell ref="S39:S40"/>
    <mergeCell ref="T39:T40"/>
    <mergeCell ref="B3:C3"/>
    <mergeCell ref="B4:C4"/>
    <mergeCell ref="B5:C5"/>
    <mergeCell ref="B6:C6"/>
    <mergeCell ref="B7:C7"/>
    <mergeCell ref="B9:C9"/>
    <mergeCell ref="B10:C10"/>
    <mergeCell ref="E9:Q9"/>
    <mergeCell ref="E10:Q10"/>
    <mergeCell ref="E11:Q11"/>
    <mergeCell ref="E12:Q12"/>
    <mergeCell ref="E17:Q17"/>
    <mergeCell ref="E18:Q18"/>
    <mergeCell ref="E3:Q3"/>
    <mergeCell ref="E4:Q4"/>
    <mergeCell ref="E5:Q5"/>
    <mergeCell ref="E6:Q6"/>
    <mergeCell ref="E7:Q7"/>
    <mergeCell ref="E8:Q8"/>
    <mergeCell ref="O27:P27"/>
    <mergeCell ref="F19:Q19"/>
    <mergeCell ref="C22:C24"/>
    <mergeCell ref="C25:C27"/>
    <mergeCell ref="C28:C30"/>
    <mergeCell ref="A28:A30"/>
    <mergeCell ref="B22:B24"/>
    <mergeCell ref="B25:B27"/>
    <mergeCell ref="B28:B30"/>
    <mergeCell ref="D22:D24"/>
    <mergeCell ref="D25:D27"/>
    <mergeCell ref="D28:D30"/>
    <mergeCell ref="F20:H20"/>
    <mergeCell ref="I20:K20"/>
    <mergeCell ref="L20:N20"/>
    <mergeCell ref="O20:Q20"/>
    <mergeCell ref="A22:A24"/>
    <mergeCell ref="A25:A27"/>
    <mergeCell ref="F27:G27"/>
    <mergeCell ref="I27:J27"/>
    <mergeCell ref="L27:M2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Arturo Paniagua</dc:creator>
  <cp:lastModifiedBy>Arturo Paniagua</cp:lastModifiedBy>
  <dcterms:created xsi:type="dcterms:W3CDTF">2018-12-17T10:18:10Z</dcterms:created>
  <dcterms:modified xsi:type="dcterms:W3CDTF">2018-12-18T22:10:03Z</dcterms:modified>
</cp:coreProperties>
</file>